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wanseauniversity-my.sharepoint.com/personal/n_c_barnard_swansea_ac_uk/Documents/SQ2024-1450/Data/SC-LCF/"/>
    </mc:Choice>
  </mc:AlternateContent>
  <xr:revisionPtr revIDLastSave="0" documentId="8_{1E0DB051-4BD6-4589-9DB9-BE46E9EF9F02}" xr6:coauthVersionLast="47" xr6:coauthVersionMax="47" xr10:uidLastSave="{00000000-0000-0000-0000-000000000000}"/>
  <bookViews>
    <workbookView xWindow="-120" yWindow="-120" windowWidth="29040" windowHeight="15840" firstSheet="4" activeTab="4" xr2:uid="{00000000-000D-0000-FFFF-FFFF00000000}"/>
  </bookViews>
  <sheets>
    <sheet name="Introduction" sheetId="1" r:id="rId1"/>
    <sheet name="Test Diary" sheetId="8" r:id="rId2"/>
    <sheet name="Test Summary" sheetId="9" r:id="rId3"/>
    <sheet name="Data entry" sheetId="2" r:id="rId4"/>
    <sheet name="Report Tables" sheetId="10" r:id="rId5"/>
  </sheets>
  <externalReferences>
    <externalReference r:id="rId6"/>
  </externalReferences>
  <definedNames>
    <definedName name="Control">'[1]Test Summary'!#REF!</definedName>
    <definedName name="Control_mode">'[1]Test Summary'!$AK$15:$AK$17</definedName>
    <definedName name="environment">#REF!</definedName>
    <definedName name="GL_Technique">'[1]Test Summary'!$AP$15:$AP$39</definedName>
    <definedName name="loading">#REF!</definedName>
    <definedName name="Rate_units">'[1]Test Summary'!$AL$15:$AL$34</definedName>
    <definedName name="Spec_Design">'[1]Test Summary'!$AN$15:$AN$39</definedName>
    <definedName name="Spec_Type">'[1]Test Summary'!$AN$15:$AN$39</definedName>
    <definedName name="Standard">'[1]Test Summary'!$AO$15:$AO$39</definedName>
    <definedName name="Test_Status" localSheetId="1">'[1]Test Summary'!$AQ$15:$AQ$24</definedName>
    <definedName name="Test_Status">'Data entry'!#REF!</definedName>
    <definedName name="Test_Type">'[1]Test Summary'!$AM$15:$AM$39</definedName>
    <definedName name="waveform">'Test Summary'!$AE$17:$AE$21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0" l="1"/>
  <c r="AM13" i="2"/>
  <c r="AM16" i="2" l="1"/>
  <c r="AM22" i="2" l="1"/>
  <c r="AM20" i="2" l="1"/>
  <c r="AM14" i="2" l="1"/>
  <c r="AL14" i="2"/>
  <c r="AM17" i="2" l="1"/>
  <c r="AL17" i="2"/>
  <c r="AL16" i="2" l="1"/>
  <c r="AL24" i="2"/>
  <c r="AL22" i="2"/>
  <c r="AL21" i="2"/>
  <c r="AL20" i="2"/>
  <c r="AL19" i="2"/>
  <c r="AL18" i="2"/>
  <c r="AL15" i="2"/>
  <c r="AL13" i="2"/>
  <c r="AL23" i="2"/>
  <c r="AM23" i="2"/>
  <c r="D22" i="10" l="1"/>
  <c r="G22" i="10"/>
  <c r="H22" i="10"/>
  <c r="I22" i="10"/>
  <c r="L22" i="10"/>
  <c r="M22" i="10"/>
  <c r="N22" i="10"/>
  <c r="O22" i="10"/>
  <c r="P22" i="10"/>
  <c r="Q22" i="10"/>
  <c r="R22" i="10"/>
  <c r="S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J22" i="10"/>
  <c r="AK22" i="10"/>
  <c r="AP22" i="10"/>
  <c r="AQ22" i="10"/>
  <c r="AR15" i="10"/>
  <c r="AR16" i="10"/>
  <c r="AR17" i="10"/>
  <c r="AR18" i="10"/>
  <c r="AR19" i="10"/>
  <c r="AR20" i="10"/>
  <c r="AR21" i="10"/>
  <c r="AR22" i="10"/>
  <c r="AR23" i="10"/>
  <c r="AR24" i="10"/>
  <c r="AR25" i="10"/>
  <c r="AR14" i="10"/>
  <c r="AQ15" i="10"/>
  <c r="AQ16" i="10"/>
  <c r="AQ17" i="10"/>
  <c r="AQ18" i="10"/>
  <c r="AQ19" i="10"/>
  <c r="AQ20" i="10"/>
  <c r="AQ21" i="10"/>
  <c r="AQ23" i="10"/>
  <c r="AQ24" i="10"/>
  <c r="AQ25" i="10"/>
  <c r="AQ14" i="10"/>
  <c r="AP15" i="10"/>
  <c r="AP16" i="10"/>
  <c r="AP17" i="10"/>
  <c r="AP18" i="10"/>
  <c r="AP19" i="10"/>
  <c r="AP20" i="10"/>
  <c r="AP21" i="10"/>
  <c r="AP23" i="10"/>
  <c r="AP24" i="10"/>
  <c r="AP25" i="10"/>
  <c r="AP14" i="10"/>
  <c r="O3" i="9" l="1"/>
  <c r="O2" i="9"/>
  <c r="L15" i="10" l="1"/>
  <c r="L16" i="10"/>
  <c r="L17" i="10"/>
  <c r="L18" i="10"/>
  <c r="L19" i="10"/>
  <c r="L20" i="10"/>
  <c r="L21" i="10"/>
  <c r="L23" i="10"/>
  <c r="L24" i="10"/>
  <c r="L25" i="10"/>
  <c r="L14" i="10"/>
  <c r="I15" i="10" l="1"/>
  <c r="I16" i="10"/>
  <c r="I17" i="10"/>
  <c r="I18" i="10"/>
  <c r="I19" i="10"/>
  <c r="I20" i="10"/>
  <c r="I21" i="10"/>
  <c r="I23" i="10"/>
  <c r="I24" i="10"/>
  <c r="I25" i="10"/>
  <c r="I14" i="10"/>
  <c r="H15" i="10"/>
  <c r="H16" i="10"/>
  <c r="H17" i="10"/>
  <c r="H18" i="10"/>
  <c r="H19" i="10"/>
  <c r="H20" i="10"/>
  <c r="H21" i="10"/>
  <c r="H23" i="10"/>
  <c r="H24" i="10"/>
  <c r="H25" i="10"/>
  <c r="H14" i="10"/>
  <c r="AK15" i="10"/>
  <c r="AK16" i="10"/>
  <c r="AK17" i="10"/>
  <c r="AK18" i="10"/>
  <c r="AK19" i="10"/>
  <c r="AK20" i="10"/>
  <c r="AK21" i="10"/>
  <c r="AK23" i="10"/>
  <c r="AK24" i="10"/>
  <c r="AK25" i="10"/>
  <c r="AK14" i="10"/>
  <c r="AJ15" i="10"/>
  <c r="AJ16" i="10"/>
  <c r="AJ17" i="10"/>
  <c r="AJ18" i="10"/>
  <c r="AJ19" i="10"/>
  <c r="AJ20" i="10"/>
  <c r="AJ21" i="10"/>
  <c r="AJ23" i="10"/>
  <c r="AJ24" i="10"/>
  <c r="AJ25" i="10"/>
  <c r="AJ14" i="10"/>
  <c r="AI15" i="10"/>
  <c r="AI16" i="10"/>
  <c r="AI17" i="10"/>
  <c r="AI18" i="10"/>
  <c r="AI19" i="10"/>
  <c r="AI20" i="10"/>
  <c r="AI21" i="10"/>
  <c r="AI23" i="10"/>
  <c r="AI24" i="10"/>
  <c r="AI25" i="10"/>
  <c r="AI14" i="10"/>
  <c r="AH15" i="10"/>
  <c r="AH16" i="10"/>
  <c r="AH17" i="10"/>
  <c r="AH18" i="10"/>
  <c r="AH19" i="10"/>
  <c r="AH20" i="10"/>
  <c r="AH21" i="10"/>
  <c r="AH23" i="10"/>
  <c r="AH24" i="10"/>
  <c r="AH25" i="10"/>
  <c r="AH14" i="10"/>
  <c r="AG15" i="10"/>
  <c r="AG16" i="10"/>
  <c r="AG17" i="10"/>
  <c r="AG18" i="10"/>
  <c r="AG19" i="10"/>
  <c r="AG20" i="10"/>
  <c r="AG21" i="10"/>
  <c r="AG23" i="10"/>
  <c r="AG24" i="10"/>
  <c r="AG25" i="10"/>
  <c r="AG14" i="10"/>
  <c r="W15" i="10"/>
  <c r="X15" i="10"/>
  <c r="Y15" i="10"/>
  <c r="Z15" i="10"/>
  <c r="AA15" i="10"/>
  <c r="AB15" i="10"/>
  <c r="W16" i="10"/>
  <c r="X16" i="10"/>
  <c r="Y16" i="10"/>
  <c r="Z16" i="10"/>
  <c r="AA16" i="10"/>
  <c r="AB16" i="10"/>
  <c r="W17" i="10"/>
  <c r="X17" i="10"/>
  <c r="Y17" i="10"/>
  <c r="Z17" i="10"/>
  <c r="AA17" i="10"/>
  <c r="AB17" i="10"/>
  <c r="W18" i="10"/>
  <c r="X18" i="10"/>
  <c r="Y18" i="10"/>
  <c r="Z18" i="10"/>
  <c r="AA18" i="10"/>
  <c r="AB18" i="10"/>
  <c r="W19" i="10"/>
  <c r="X19" i="10"/>
  <c r="Y19" i="10"/>
  <c r="Z19" i="10"/>
  <c r="AA19" i="10"/>
  <c r="AB19" i="10"/>
  <c r="W20" i="10"/>
  <c r="X20" i="10"/>
  <c r="Y20" i="10"/>
  <c r="Z20" i="10"/>
  <c r="AA20" i="10"/>
  <c r="AB20" i="10"/>
  <c r="W21" i="10"/>
  <c r="X21" i="10"/>
  <c r="Y21" i="10"/>
  <c r="Z21" i="10"/>
  <c r="AA21" i="10"/>
  <c r="AB21" i="10"/>
  <c r="W23" i="10"/>
  <c r="X23" i="10"/>
  <c r="Y23" i="10"/>
  <c r="Z23" i="10"/>
  <c r="AA23" i="10"/>
  <c r="AB23" i="10"/>
  <c r="W24" i="10"/>
  <c r="X24" i="10"/>
  <c r="Y24" i="10"/>
  <c r="Z24" i="10"/>
  <c r="AA24" i="10"/>
  <c r="AB24" i="10"/>
  <c r="W25" i="10"/>
  <c r="X25" i="10"/>
  <c r="Y25" i="10"/>
  <c r="Z25" i="10"/>
  <c r="AA25" i="10"/>
  <c r="AB25" i="10"/>
  <c r="X14" i="10"/>
  <c r="Y14" i="10"/>
  <c r="Z14" i="10"/>
  <c r="AA14" i="10"/>
  <c r="AB14" i="10"/>
  <c r="W14" i="10"/>
  <c r="AF15" i="10" l="1"/>
  <c r="AF16" i="10"/>
  <c r="AF17" i="10"/>
  <c r="AF18" i="10"/>
  <c r="AF19" i="10"/>
  <c r="AF20" i="10"/>
  <c r="AF21" i="10"/>
  <c r="AF23" i="10"/>
  <c r="AF24" i="10"/>
  <c r="AF25" i="10"/>
  <c r="AF14" i="10"/>
  <c r="AE15" i="10"/>
  <c r="AE16" i="10"/>
  <c r="AE17" i="10"/>
  <c r="AE18" i="10"/>
  <c r="AE19" i="10"/>
  <c r="AE20" i="10"/>
  <c r="AE21" i="10"/>
  <c r="AE23" i="10"/>
  <c r="AE24" i="10"/>
  <c r="AE25" i="10"/>
  <c r="AE14" i="10"/>
  <c r="AC15" i="10"/>
  <c r="AC16" i="10"/>
  <c r="AC17" i="10"/>
  <c r="AC18" i="10"/>
  <c r="AC19" i="10"/>
  <c r="AC20" i="10"/>
  <c r="AC21" i="10"/>
  <c r="AC23" i="10"/>
  <c r="AC24" i="10"/>
  <c r="AC25" i="10"/>
  <c r="AC14" i="10"/>
  <c r="AD15" i="10"/>
  <c r="AD16" i="10"/>
  <c r="AD17" i="10"/>
  <c r="AD18" i="10"/>
  <c r="AD19" i="10"/>
  <c r="AD20" i="10"/>
  <c r="AD21" i="10"/>
  <c r="AD23" i="10"/>
  <c r="AD24" i="10"/>
  <c r="AD25" i="10"/>
  <c r="AD14" i="10"/>
  <c r="M15" i="10" l="1"/>
  <c r="M16" i="10"/>
  <c r="M17" i="10"/>
  <c r="M18" i="10"/>
  <c r="M19" i="10"/>
  <c r="M20" i="10"/>
  <c r="M21" i="10"/>
  <c r="M23" i="10"/>
  <c r="M24" i="10"/>
  <c r="M25" i="10"/>
  <c r="M14" i="10"/>
  <c r="S15" i="10"/>
  <c r="S16" i="10"/>
  <c r="S17" i="10"/>
  <c r="S18" i="10"/>
  <c r="S19" i="10"/>
  <c r="S20" i="10"/>
  <c r="S21" i="10"/>
  <c r="S23" i="10"/>
  <c r="S24" i="10"/>
  <c r="S25" i="10"/>
  <c r="S14" i="10"/>
  <c r="R15" i="10"/>
  <c r="R16" i="10"/>
  <c r="R17" i="10"/>
  <c r="R18" i="10"/>
  <c r="R19" i="10"/>
  <c r="R20" i="10"/>
  <c r="R21" i="10"/>
  <c r="R23" i="10"/>
  <c r="R24" i="10"/>
  <c r="R25" i="10"/>
  <c r="R14" i="10"/>
  <c r="Q15" i="10"/>
  <c r="Q16" i="10"/>
  <c r="Q17" i="10"/>
  <c r="Q18" i="10"/>
  <c r="Q19" i="10"/>
  <c r="Q20" i="10"/>
  <c r="Q21" i="10"/>
  <c r="Q23" i="10"/>
  <c r="Q24" i="10"/>
  <c r="Q25" i="10"/>
  <c r="Q14" i="10"/>
  <c r="P15" i="10"/>
  <c r="P16" i="10"/>
  <c r="P17" i="10"/>
  <c r="P18" i="10"/>
  <c r="P19" i="10"/>
  <c r="P20" i="10"/>
  <c r="P21" i="10"/>
  <c r="P23" i="10"/>
  <c r="P24" i="10"/>
  <c r="P25" i="10"/>
  <c r="P14" i="10"/>
  <c r="O15" i="10"/>
  <c r="O16" i="10"/>
  <c r="O17" i="10"/>
  <c r="O18" i="10"/>
  <c r="O19" i="10"/>
  <c r="O20" i="10"/>
  <c r="O21" i="10"/>
  <c r="O23" i="10"/>
  <c r="O24" i="10"/>
  <c r="O25" i="10"/>
  <c r="O14" i="10"/>
  <c r="N15" i="10"/>
  <c r="N16" i="10"/>
  <c r="N17" i="10"/>
  <c r="N18" i="10"/>
  <c r="N19" i="10"/>
  <c r="N20" i="10"/>
  <c r="N21" i="10"/>
  <c r="N23" i="10"/>
  <c r="N24" i="10"/>
  <c r="N25" i="10"/>
  <c r="N14" i="10"/>
  <c r="G15" i="10"/>
  <c r="G16" i="10"/>
  <c r="G17" i="10"/>
  <c r="G18" i="10"/>
  <c r="G19" i="10"/>
  <c r="G20" i="10"/>
  <c r="G21" i="10"/>
  <c r="G23" i="10"/>
  <c r="G24" i="10"/>
  <c r="G25" i="10"/>
  <c r="G14" i="10"/>
  <c r="D15" i="10"/>
  <c r="D16" i="10"/>
  <c r="D17" i="10"/>
  <c r="D18" i="10"/>
  <c r="D19" i="10"/>
  <c r="D20" i="10"/>
  <c r="D21" i="10"/>
  <c r="D23" i="10"/>
  <c r="D24" i="10"/>
  <c r="D25" i="10"/>
  <c r="O18" i="9"/>
  <c r="O19" i="9"/>
  <c r="O20" i="9"/>
  <c r="O21" i="9"/>
  <c r="O22" i="9"/>
  <c r="O23" i="9"/>
  <c r="O24" i="9"/>
  <c r="O25" i="9"/>
  <c r="O26" i="9"/>
  <c r="O27" i="9"/>
  <c r="O28" i="9"/>
  <c r="O17" i="9"/>
  <c r="U24" i="2" l="1"/>
  <c r="N24" i="2"/>
  <c r="M24" i="2"/>
  <c r="L24" i="2"/>
  <c r="H24" i="2"/>
  <c r="B24" i="2"/>
  <c r="AN25" i="10" s="1"/>
  <c r="A24" i="2"/>
  <c r="U23" i="2"/>
  <c r="N23" i="2"/>
  <c r="M23" i="2"/>
  <c r="L23" i="2"/>
  <c r="H23" i="2"/>
  <c r="B23" i="2"/>
  <c r="AN24" i="10" s="1"/>
  <c r="A23" i="2"/>
  <c r="U22" i="2"/>
  <c r="N22" i="2"/>
  <c r="M22" i="2"/>
  <c r="L22" i="2"/>
  <c r="H22" i="2"/>
  <c r="B22" i="2"/>
  <c r="AN23" i="10" s="1"/>
  <c r="A22" i="2"/>
  <c r="U21" i="2"/>
  <c r="N21" i="2"/>
  <c r="M21" i="2"/>
  <c r="L21" i="2"/>
  <c r="H21" i="2"/>
  <c r="B21" i="2"/>
  <c r="A21" i="2"/>
  <c r="U20" i="2"/>
  <c r="N20" i="2"/>
  <c r="M20" i="2"/>
  <c r="L20" i="2"/>
  <c r="H20" i="2"/>
  <c r="B20" i="2"/>
  <c r="AN21" i="10" s="1"/>
  <c r="A20" i="2"/>
  <c r="U19" i="2"/>
  <c r="N19" i="2"/>
  <c r="M19" i="2"/>
  <c r="L19" i="2"/>
  <c r="H19" i="2"/>
  <c r="B19" i="2"/>
  <c r="AN20" i="10" s="1"/>
  <c r="A19" i="2"/>
  <c r="U18" i="2"/>
  <c r="N18" i="2"/>
  <c r="M18" i="2"/>
  <c r="L18" i="2"/>
  <c r="H18" i="2"/>
  <c r="B18" i="2"/>
  <c r="AN19" i="10" s="1"/>
  <c r="A18" i="2"/>
  <c r="U17" i="2"/>
  <c r="N17" i="2"/>
  <c r="M17" i="2"/>
  <c r="L17" i="2"/>
  <c r="H17" i="2"/>
  <c r="B17" i="2"/>
  <c r="AN18" i="10" s="1"/>
  <c r="A17" i="2"/>
  <c r="U16" i="2"/>
  <c r="N16" i="2"/>
  <c r="M16" i="2"/>
  <c r="L16" i="2"/>
  <c r="H16" i="2"/>
  <c r="B16" i="2"/>
  <c r="AN17" i="10" s="1"/>
  <c r="A16" i="2"/>
  <c r="U15" i="2"/>
  <c r="N15" i="2"/>
  <c r="M15" i="2"/>
  <c r="L15" i="2"/>
  <c r="H15" i="2"/>
  <c r="B15" i="2"/>
  <c r="AN16" i="10" s="1"/>
  <c r="A15" i="2"/>
  <c r="U14" i="2"/>
  <c r="N14" i="2"/>
  <c r="M14" i="2"/>
  <c r="L14" i="2"/>
  <c r="O14" i="2" s="1"/>
  <c r="H14" i="2"/>
  <c r="B14" i="2"/>
  <c r="AN15" i="10" s="1"/>
  <c r="A14" i="2"/>
  <c r="U13" i="2"/>
  <c r="N13" i="2"/>
  <c r="M13" i="2"/>
  <c r="L13" i="2"/>
  <c r="H13" i="2"/>
  <c r="B13" i="2"/>
  <c r="A13" i="2"/>
  <c r="M4" i="2"/>
  <c r="M3" i="2"/>
  <c r="M2" i="2"/>
  <c r="M1" i="2"/>
  <c r="P28" i="9"/>
  <c r="P27" i="9"/>
  <c r="P26" i="9"/>
  <c r="P25" i="9"/>
  <c r="P24" i="9"/>
  <c r="P23" i="9"/>
  <c r="P22" i="9"/>
  <c r="P21" i="9"/>
  <c r="P20" i="9"/>
  <c r="P19" i="9"/>
  <c r="P18" i="9"/>
  <c r="P17" i="9"/>
  <c r="O11" i="9"/>
  <c r="O10" i="9"/>
  <c r="O9" i="9"/>
  <c r="O8" i="9"/>
  <c r="O7" i="9"/>
  <c r="O6" i="9"/>
  <c r="O5" i="9"/>
  <c r="O4" i="9"/>
  <c r="H4" i="9"/>
  <c r="H3" i="9"/>
  <c r="H2" i="9"/>
  <c r="H1" i="9"/>
  <c r="F22" i="10" l="1"/>
  <c r="O15" i="2"/>
  <c r="O17" i="2"/>
  <c r="O18" i="2"/>
  <c r="O19" i="2"/>
  <c r="S19" i="2" s="1"/>
  <c r="O20" i="2"/>
  <c r="O21" i="2"/>
  <c r="O22" i="2"/>
  <c r="O23" i="2"/>
  <c r="S23" i="2" s="1"/>
  <c r="O24" i="2"/>
  <c r="S24" i="2" s="1"/>
  <c r="O13" i="2"/>
  <c r="Q13" i="2" s="1"/>
  <c r="K14" i="10" s="1"/>
  <c r="C22" i="10"/>
  <c r="V22" i="10"/>
  <c r="AN22" i="10"/>
  <c r="AM20" i="10"/>
  <c r="U20" i="10"/>
  <c r="B22" i="10"/>
  <c r="AM22" i="10"/>
  <c r="U22" i="10"/>
  <c r="AM17" i="10"/>
  <c r="U17" i="10"/>
  <c r="AM21" i="10"/>
  <c r="U21" i="10"/>
  <c r="AM15" i="10"/>
  <c r="U15" i="10"/>
  <c r="AM19" i="10"/>
  <c r="U19" i="10"/>
  <c r="AM23" i="10"/>
  <c r="U23" i="10"/>
  <c r="AM18" i="10"/>
  <c r="U18" i="10"/>
  <c r="AM16" i="10"/>
  <c r="U16" i="10"/>
  <c r="AM24" i="10"/>
  <c r="U24" i="10"/>
  <c r="AM25" i="10"/>
  <c r="U25" i="10"/>
  <c r="P3" i="10"/>
  <c r="P2" i="10"/>
  <c r="P4" i="10"/>
  <c r="P1" i="10"/>
  <c r="V14" i="10"/>
  <c r="AN14" i="10"/>
  <c r="U14" i="10"/>
  <c r="AM14" i="10"/>
  <c r="O16" i="2"/>
  <c r="S16" i="2" s="1"/>
  <c r="V15" i="10"/>
  <c r="V16" i="10"/>
  <c r="V17" i="10"/>
  <c r="V18" i="10"/>
  <c r="V19" i="10"/>
  <c r="V20" i="10"/>
  <c r="V21" i="10"/>
  <c r="V23" i="10"/>
  <c r="V24" i="10"/>
  <c r="V25" i="10"/>
  <c r="R16" i="2"/>
  <c r="B14" i="10"/>
  <c r="B15" i="10"/>
  <c r="B16" i="10"/>
  <c r="B17" i="10"/>
  <c r="B18" i="10"/>
  <c r="B19" i="10"/>
  <c r="B20" i="10"/>
  <c r="B21" i="10"/>
  <c r="B23" i="10"/>
  <c r="B24" i="10"/>
  <c r="B25" i="10"/>
  <c r="C14" i="10"/>
  <c r="C15" i="10"/>
  <c r="C16" i="10"/>
  <c r="C17" i="10"/>
  <c r="C18" i="10"/>
  <c r="C19" i="10"/>
  <c r="C20" i="10"/>
  <c r="C21" i="10"/>
  <c r="C23" i="10"/>
  <c r="C24" i="10"/>
  <c r="C25" i="10"/>
  <c r="R14" i="2"/>
  <c r="R18" i="2"/>
  <c r="S14" i="2"/>
  <c r="S18" i="2"/>
  <c r="S20" i="2"/>
  <c r="S21" i="2"/>
  <c r="S22" i="2"/>
  <c r="F25" i="10"/>
  <c r="I24" i="2"/>
  <c r="I13" i="2"/>
  <c r="F14" i="10"/>
  <c r="I14" i="2"/>
  <c r="F15" i="10"/>
  <c r="I15" i="2"/>
  <c r="F16" i="10"/>
  <c r="I16" i="2"/>
  <c r="F17" i="10"/>
  <c r="I17" i="2"/>
  <c r="F18" i="10"/>
  <c r="I18" i="2"/>
  <c r="F19" i="10"/>
  <c r="I19" i="2"/>
  <c r="F20" i="10"/>
  <c r="I20" i="2"/>
  <c r="F21" i="10"/>
  <c r="I21" i="2"/>
  <c r="E22" i="10" s="1"/>
  <c r="I22" i="2"/>
  <c r="F23" i="10"/>
  <c r="I23" i="2"/>
  <c r="F24" i="10"/>
  <c r="Q17" i="2"/>
  <c r="K18" i="10" s="1"/>
  <c r="Q20" i="2"/>
  <c r="K21" i="10" s="1"/>
  <c r="P21" i="2"/>
  <c r="P15" i="2"/>
  <c r="R15" i="2"/>
  <c r="R20" i="2"/>
  <c r="P23" i="2"/>
  <c r="R23" i="2"/>
  <c r="R19" i="2"/>
  <c r="P13" i="2"/>
  <c r="R13" i="2"/>
  <c r="P17" i="2"/>
  <c r="R17" i="2"/>
  <c r="Q15" i="2"/>
  <c r="K16" i="10" s="1"/>
  <c r="R21" i="2"/>
  <c r="P14" i="2"/>
  <c r="P18" i="2"/>
  <c r="R24" i="2"/>
  <c r="S13" i="2"/>
  <c r="Q14" i="2"/>
  <c r="K15" i="10" s="1"/>
  <c r="S15" i="2"/>
  <c r="S17" i="2"/>
  <c r="Q18" i="2"/>
  <c r="K19" i="10" s="1"/>
  <c r="R22" i="2"/>
  <c r="P20" i="2"/>
  <c r="Q21" i="2"/>
  <c r="K22" i="10" s="1"/>
  <c r="Q19" i="2" l="1"/>
  <c r="K20" i="10" s="1"/>
  <c r="P19" i="2"/>
  <c r="Q16" i="2"/>
  <c r="K17" i="10" s="1"/>
  <c r="Q24" i="2"/>
  <c r="K25" i="10" s="1"/>
  <c r="P16" i="2"/>
  <c r="P22" i="2"/>
  <c r="Q23" i="2"/>
  <c r="K24" i="10" s="1"/>
  <c r="P24" i="2"/>
  <c r="Q22" i="2"/>
  <c r="K23" i="10" s="1"/>
  <c r="J22" i="10"/>
  <c r="E24" i="10"/>
  <c r="E20" i="10"/>
  <c r="E18" i="10"/>
  <c r="E16" i="10"/>
  <c r="E14" i="10"/>
  <c r="E25" i="10"/>
  <c r="E23" i="10"/>
  <c r="E21" i="10"/>
  <c r="E19" i="10"/>
  <c r="E17" i="10"/>
  <c r="E15" i="10"/>
  <c r="T13" i="2"/>
  <c r="AO14" i="10" s="1"/>
  <c r="J14" i="10"/>
  <c r="T15" i="2"/>
  <c r="AO16" i="10" s="1"/>
  <c r="J16" i="10"/>
  <c r="T19" i="2"/>
  <c r="AO20" i="10" s="1"/>
  <c r="J20" i="10"/>
  <c r="T22" i="2"/>
  <c r="AO23" i="10" s="1"/>
  <c r="J23" i="10"/>
  <c r="T14" i="2"/>
  <c r="AO15" i="10" s="1"/>
  <c r="J15" i="10"/>
  <c r="T17" i="2"/>
  <c r="AO18" i="10" s="1"/>
  <c r="J18" i="10"/>
  <c r="T21" i="2"/>
  <c r="AO22" i="10" s="1"/>
  <c r="T20" i="2"/>
  <c r="AO21" i="10" s="1"/>
  <c r="J21" i="10"/>
  <c r="T18" i="2"/>
  <c r="AO19" i="10" s="1"/>
  <c r="J19" i="10"/>
  <c r="T23" i="2"/>
  <c r="AO24" i="10" s="1"/>
  <c r="J24" i="10"/>
  <c r="T16" i="2" l="1"/>
  <c r="AO17" i="10" s="1"/>
  <c r="J17" i="10"/>
  <c r="J25" i="10"/>
  <c r="T24" i="2"/>
  <c r="AO25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Barnard</author>
    <author>%username%</author>
  </authors>
  <commentList>
    <comment ref="AJ1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Nick Barnard:</t>
        </r>
        <r>
          <rPr>
            <sz val="9"/>
            <color indexed="81"/>
            <rFont val="Tahoma"/>
            <family val="2"/>
          </rPr>
          <t xml:space="preserve">
These should be from the mid-life cycle</t>
        </r>
      </text>
    </comment>
    <comment ref="AK1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Nick Barnard:</t>
        </r>
        <r>
          <rPr>
            <sz val="9"/>
            <color indexed="81"/>
            <rFont val="Tahoma"/>
            <family val="2"/>
          </rPr>
          <t xml:space="preserve">
These should be from the mid-life cycle</t>
        </r>
      </text>
    </comment>
    <comment ref="AL11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%username%:</t>
        </r>
        <r>
          <rPr>
            <sz val="9"/>
            <color indexed="81"/>
            <rFont val="Tahoma"/>
            <family val="2"/>
          </rPr>
          <t xml:space="preserve">
These should be from the mid-life cycle</t>
        </r>
      </text>
    </comment>
    <comment ref="AM11" authorId="1" shapeId="0" xr:uid="{00000000-0006-0000-0300-000004000000}">
      <text>
        <r>
          <rPr>
            <b/>
            <sz val="9"/>
            <color indexed="81"/>
            <rFont val="Tahoma"/>
            <family val="2"/>
          </rPr>
          <t>%username%:</t>
        </r>
        <r>
          <rPr>
            <sz val="9"/>
            <color indexed="81"/>
            <rFont val="Tahoma"/>
            <family val="2"/>
          </rPr>
          <t xml:space="preserve">
should be from the mid-life cycle
</t>
        </r>
      </text>
    </comment>
    <comment ref="AN11" authorId="1" shapeId="0" xr:uid="{00000000-0006-0000-0300-000005000000}">
      <text>
        <r>
          <rPr>
            <b/>
            <sz val="9"/>
            <color indexed="81"/>
            <rFont val="Tahoma"/>
            <family val="2"/>
          </rPr>
          <t>%username%:</t>
        </r>
        <r>
          <rPr>
            <sz val="9"/>
            <color indexed="81"/>
            <rFont val="Tahoma"/>
            <family val="2"/>
          </rPr>
          <t xml:space="preserve">
should be from the mid-life cycle</t>
        </r>
      </text>
    </comment>
  </commentList>
</comments>
</file>

<file path=xl/sharedStrings.xml><?xml version="1.0" encoding="utf-8"?>
<sst xmlns="http://schemas.openxmlformats.org/spreadsheetml/2006/main" count="472" uniqueCount="243">
  <si>
    <t>COMMON ANALYSIS TEMPLATE (CAT)</t>
  </si>
  <si>
    <t>SMaRT_QMS7.8(7)</t>
  </si>
  <si>
    <t>Strain Control LCF Summary Data</t>
  </si>
  <si>
    <t>Version 1.5</t>
  </si>
  <si>
    <t>Plain Cylindrical Specimens</t>
  </si>
  <si>
    <t>Issue Date: 25/10/2019</t>
  </si>
  <si>
    <t>This CAT should be employed for the calculation of key nominal test parameters and</t>
  </si>
  <si>
    <t>subsequent analysis of strain controlled LCF tests performed on plain cylindrical specimen geometries</t>
  </si>
  <si>
    <t>Green coloured cells indicate an operator entry is required in that cell</t>
  </si>
  <si>
    <t>Cells containing formulae are deliberately locked to prohibit changes by non authorised users (grey cells)</t>
  </si>
  <si>
    <r>
      <t>The '</t>
    </r>
    <r>
      <rPr>
        <b/>
        <u/>
        <sz val="11"/>
        <color theme="1"/>
        <rFont val="Calibri"/>
        <family val="2"/>
        <scheme val="minor"/>
      </rPr>
      <t>Test Diary</t>
    </r>
    <r>
      <rPr>
        <sz val="11"/>
        <color theme="1"/>
        <rFont val="Calibri"/>
        <family val="2"/>
        <scheme val="minor"/>
      </rPr>
      <t>' tab is to be updated when intialially setting up the contract and every time conditions are revised/supplied</t>
    </r>
  </si>
  <si>
    <r>
      <t>The '</t>
    </r>
    <r>
      <rPr>
        <b/>
        <u/>
        <sz val="11"/>
        <color theme="1"/>
        <rFont val="Calibri"/>
        <family val="2"/>
        <scheme val="minor"/>
      </rPr>
      <t>Test Summary</t>
    </r>
    <r>
      <rPr>
        <sz val="11"/>
        <color theme="1"/>
        <rFont val="Calibri"/>
        <family val="2"/>
        <scheme val="minor"/>
      </rPr>
      <t>' tab is to be completed by COO/TM when setting up contract or adding conditions (complete blue cells).</t>
    </r>
  </si>
  <si>
    <t>Test Engineers must complete the green cells as testing progresses.</t>
  </si>
  <si>
    <r>
      <t>Data relating to operation of the tests are entered into the '</t>
    </r>
    <r>
      <rPr>
        <b/>
        <u/>
        <sz val="11"/>
        <color theme="1"/>
        <rFont val="Calibri"/>
        <family val="2"/>
        <scheme val="minor"/>
      </rPr>
      <t>Data Entry</t>
    </r>
    <r>
      <rPr>
        <sz val="11"/>
        <color theme="1"/>
        <rFont val="Calibri"/>
        <family val="2"/>
        <scheme val="minor"/>
      </rPr>
      <t>' tab by the Test Engineer.</t>
    </r>
  </si>
  <si>
    <t>The designated project manager (PM) must complete the purple cells to compelte the analysis for the report.</t>
  </si>
  <si>
    <r>
      <t>The '</t>
    </r>
    <r>
      <rPr>
        <b/>
        <u/>
        <sz val="11"/>
        <color theme="1"/>
        <rFont val="Calibri"/>
        <family val="2"/>
        <scheme val="minor"/>
      </rPr>
      <t>GRIT</t>
    </r>
    <r>
      <rPr>
        <u/>
        <sz val="11"/>
        <color theme="1"/>
        <rFont val="Calibri"/>
        <family val="2"/>
        <scheme val="minor"/>
      </rPr>
      <t>'</t>
    </r>
    <r>
      <rPr>
        <sz val="11"/>
        <color theme="1"/>
        <rFont val="Calibri"/>
        <family val="2"/>
        <scheme val="minor"/>
      </rPr>
      <t xml:space="preserve"> tab will automatically populate, with the exception of the purple headed columns, which requires the PM to complete manually.</t>
    </r>
  </si>
  <si>
    <t>Graphs are automatically generated for:</t>
  </si>
  <si>
    <r>
      <t>Peak strain vs cycles to failure (tab E</t>
    </r>
    <r>
      <rPr>
        <vertAlign val="subscript"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 xml:space="preserve"> vs N)</t>
    </r>
  </si>
  <si>
    <r>
      <t>Strain range vs cycles to failure (tab E</t>
    </r>
    <r>
      <rPr>
        <vertAlign val="subscript"/>
        <sz val="11"/>
        <color theme="1"/>
        <rFont val="Calibri"/>
        <family val="2"/>
        <scheme val="minor"/>
      </rPr>
      <t>range</t>
    </r>
    <r>
      <rPr>
        <sz val="11"/>
        <color theme="1"/>
        <rFont val="Calibri"/>
        <family val="2"/>
        <scheme val="minor"/>
      </rPr>
      <t xml:space="preserve"> vs N)</t>
    </r>
  </si>
  <si>
    <r>
      <t>Strain amplitude vs cycles to failure (tab E</t>
    </r>
    <r>
      <rPr>
        <vertAlign val="subscript"/>
        <sz val="11"/>
        <color theme="1"/>
        <rFont val="Calibri"/>
        <family val="2"/>
        <scheme val="minor"/>
      </rPr>
      <t>amp</t>
    </r>
    <r>
      <rPr>
        <sz val="11"/>
        <color theme="1"/>
        <rFont val="Calibri"/>
        <family val="2"/>
        <scheme val="minor"/>
      </rPr>
      <t xml:space="preserve"> vs N)</t>
    </r>
  </si>
  <si>
    <r>
      <t>Stress amplitude range vs cycles to failure (tab S</t>
    </r>
    <r>
      <rPr>
        <vertAlign val="subscript"/>
        <sz val="11"/>
        <color theme="1"/>
        <rFont val="Calibri"/>
        <family val="2"/>
        <scheme val="minor"/>
      </rPr>
      <t>amp</t>
    </r>
    <r>
      <rPr>
        <sz val="11"/>
        <color theme="1"/>
        <rFont val="Calibri"/>
        <family val="2"/>
        <scheme val="minor"/>
      </rPr>
      <t xml:space="preserve"> vs N)</t>
    </r>
  </si>
  <si>
    <t>Green coloured text on charts requires operator entries</t>
  </si>
  <si>
    <t>Data points representing run-out tests shall be marked with an arrow</t>
  </si>
  <si>
    <t>SMaRT Contract Number:</t>
  </si>
  <si>
    <t>SQ2024-1450</t>
  </si>
  <si>
    <t>Customer Project Number:</t>
  </si>
  <si>
    <t>n/a</t>
  </si>
  <si>
    <t>Project Manager:</t>
  </si>
  <si>
    <t>N Barnard</t>
  </si>
  <si>
    <t>SMaRT Programme Owner:</t>
  </si>
  <si>
    <t>A Jones</t>
  </si>
  <si>
    <t>Date</t>
  </si>
  <si>
    <t>Updated By</t>
  </si>
  <si>
    <t>Details</t>
  </si>
  <si>
    <t>Matrix populated</t>
  </si>
  <si>
    <t>Total</t>
  </si>
  <si>
    <t>Completed</t>
  </si>
  <si>
    <t>Ongoing</t>
  </si>
  <si>
    <t>Ready</t>
  </si>
  <si>
    <t>Specimen received, awaiting conditions</t>
  </si>
  <si>
    <t>Awaiting Specimen</t>
  </si>
  <si>
    <t>Quarantined</t>
  </si>
  <si>
    <t>Void</t>
  </si>
  <si>
    <t>Returned to Customer</t>
  </si>
  <si>
    <t>Spare</t>
  </si>
  <si>
    <t>Specimen Details</t>
  </si>
  <si>
    <t>Test Conditions</t>
  </si>
  <si>
    <t>Test Results</t>
  </si>
  <si>
    <t>SMaRT</t>
  </si>
  <si>
    <t>Customer</t>
  </si>
  <si>
    <t>Delivery</t>
  </si>
  <si>
    <t>Specimen</t>
  </si>
  <si>
    <t>Nominal</t>
  </si>
  <si>
    <t>Test</t>
  </si>
  <si>
    <t xml:space="preserve">Max </t>
  </si>
  <si>
    <t>Strain</t>
  </si>
  <si>
    <t>R</t>
  </si>
  <si>
    <t xml:space="preserve">Test </t>
  </si>
  <si>
    <t>Loading</t>
  </si>
  <si>
    <t>Return</t>
  </si>
  <si>
    <t>STS No.</t>
  </si>
  <si>
    <t>ID</t>
  </si>
  <si>
    <t>Design</t>
  </si>
  <si>
    <t>Type</t>
  </si>
  <si>
    <t>Temperature</t>
  </si>
  <si>
    <t>Standard</t>
  </si>
  <si>
    <t>Ramp</t>
  </si>
  <si>
    <t>Ratio</t>
  </si>
  <si>
    <t>Waveform</t>
  </si>
  <si>
    <t>Direction</t>
  </si>
  <si>
    <t>Status</t>
  </si>
  <si>
    <t>Cycles</t>
  </si>
  <si>
    <t>Comments</t>
  </si>
  <si>
    <t>(°C)</t>
  </si>
  <si>
    <t>(%)</t>
  </si>
  <si>
    <t>(%/s)</t>
  </si>
  <si>
    <t>Test Type</t>
  </si>
  <si>
    <t>Spec Design</t>
  </si>
  <si>
    <t>Fracture position</t>
  </si>
  <si>
    <t>STS2024-33178</t>
  </si>
  <si>
    <t>RT01</t>
  </si>
  <si>
    <t>customer M16</t>
  </si>
  <si>
    <t>Cylinder</t>
  </si>
  <si>
    <t>ISO 12106:2017</t>
  </si>
  <si>
    <t>Sawtooth</t>
  </si>
  <si>
    <t>tension</t>
  </si>
  <si>
    <t>RLH6017</t>
  </si>
  <si>
    <t>ASTM E606_E606M-12</t>
  </si>
  <si>
    <t>A - mid 1/3</t>
  </si>
  <si>
    <t>Trap</t>
  </si>
  <si>
    <t>STS2024-33179</t>
  </si>
  <si>
    <t>RT02</t>
  </si>
  <si>
    <t>RLH8001</t>
  </si>
  <si>
    <t>BS 7270:2006</t>
  </si>
  <si>
    <t xml:space="preserve"> B - outer 1/3 (top)</t>
  </si>
  <si>
    <t>Specimen Received</t>
  </si>
  <si>
    <t>Sine</t>
  </si>
  <si>
    <t>STS2024-33180</t>
  </si>
  <si>
    <t>RT03</t>
  </si>
  <si>
    <t>RLH8010</t>
  </si>
  <si>
    <t>pr EN 3988:1998</t>
  </si>
  <si>
    <t>B - outer 1/3 (bottom)</t>
  </si>
  <si>
    <t>STS2024-33181</t>
  </si>
  <si>
    <t>RT04</t>
  </si>
  <si>
    <t>RLH8013</t>
  </si>
  <si>
    <t>C - Shoulder (top)</t>
  </si>
  <si>
    <t>Trap (dwell)</t>
  </si>
  <si>
    <t>STS2024-33182</t>
  </si>
  <si>
    <t>RT05</t>
  </si>
  <si>
    <t>RLH8020</t>
  </si>
  <si>
    <t>C - Shoulder (bottom)</t>
  </si>
  <si>
    <t>Complex</t>
  </si>
  <si>
    <t>STS2024-33183</t>
  </si>
  <si>
    <t>RT06</t>
  </si>
  <si>
    <t>RLH10004</t>
  </si>
  <si>
    <t>Thread (top)</t>
  </si>
  <si>
    <t>STS2024-33184</t>
  </si>
  <si>
    <t>RT07</t>
  </si>
  <si>
    <t>RLH10007</t>
  </si>
  <si>
    <t xml:space="preserve"> Thread (bottom)</t>
  </si>
  <si>
    <t>STS2024-33185</t>
  </si>
  <si>
    <t>RT08</t>
  </si>
  <si>
    <t>RLH10027</t>
  </si>
  <si>
    <t xml:space="preserve"> None</t>
  </si>
  <si>
    <t>STS2024-33186</t>
  </si>
  <si>
    <t>RT09</t>
  </si>
  <si>
    <t>RLH10043</t>
  </si>
  <si>
    <t>N/A</t>
  </si>
  <si>
    <t>Test Void</t>
  </si>
  <si>
    <t>STS2024-33187</t>
  </si>
  <si>
    <t>RT10</t>
  </si>
  <si>
    <t>RLH10112</t>
  </si>
  <si>
    <t>STS2024-33188</t>
  </si>
  <si>
    <t>RT11</t>
  </si>
  <si>
    <t>RLH10113</t>
  </si>
  <si>
    <t>STS2024-33189</t>
  </si>
  <si>
    <t>RT12</t>
  </si>
  <si>
    <t>RLH10114</t>
  </si>
  <si>
    <t>Specimen Diameter [mm]</t>
  </si>
  <si>
    <t>SMaRT Specimen</t>
  </si>
  <si>
    <t>Customer Specimen</t>
  </si>
  <si>
    <t>Average</t>
  </si>
  <si>
    <t>C.S.A</t>
  </si>
  <si>
    <t>Coaxiality [mm]
(Max. 0.02)</t>
  </si>
  <si>
    <t>Gauge Length</t>
  </si>
  <si>
    <t>Max Strain</t>
  </si>
  <si>
    <t>Min Strain</t>
  </si>
  <si>
    <t>Strain Range</t>
  </si>
  <si>
    <t>Mean
Strain</t>
  </si>
  <si>
    <t>Max Extension</t>
  </si>
  <si>
    <t>Min Extension</t>
  </si>
  <si>
    <t>Total Strain Amplitude</t>
  </si>
  <si>
    <t>Stress Amplitude</t>
  </si>
  <si>
    <t>Test Start
Date</t>
  </si>
  <si>
    <t>Test End
Date</t>
  </si>
  <si>
    <t>Heating
Time</t>
  </si>
  <si>
    <t>Soak 
Time</t>
  </si>
  <si>
    <t>Test Temp
Max</t>
  </si>
  <si>
    <t>Test Temp
Min</t>
  </si>
  <si>
    <t>Air Temp
Max</t>
  </si>
  <si>
    <t>Air Temp
Min</t>
  </si>
  <si>
    <t>Air Humidity
Max</t>
  </si>
  <si>
    <t>Air Humidity
Min</t>
  </si>
  <si>
    <r>
      <t>1</t>
    </r>
    <r>
      <rPr>
        <b/>
        <vertAlign val="superscript"/>
        <sz val="11"/>
        <rFont val="Calibri"/>
        <family val="2"/>
        <scheme val="minor"/>
      </rPr>
      <t xml:space="preserve">st </t>
    </r>
    <r>
      <rPr>
        <b/>
        <sz val="11"/>
        <rFont val="Calibri"/>
        <family val="2"/>
        <scheme val="minor"/>
      </rPr>
      <t>Cycle
E</t>
    </r>
    <r>
      <rPr>
        <b/>
        <vertAlign val="subscript"/>
        <sz val="11"/>
        <rFont val="Calibri"/>
        <family val="2"/>
        <scheme val="minor"/>
      </rPr>
      <t>1/4</t>
    </r>
  </si>
  <si>
    <t xml:space="preserve">Mid-Life </t>
  </si>
  <si>
    <t>Min Stress</t>
  </si>
  <si>
    <t>Max Stress</t>
  </si>
  <si>
    <t>σ 
Range</t>
  </si>
  <si>
    <t>Pl ε Range</t>
  </si>
  <si>
    <t>Fractured</t>
  </si>
  <si>
    <t>Fracture Position</t>
  </si>
  <si>
    <t>I.D.</t>
  </si>
  <si>
    <t>[mm]</t>
  </si>
  <si>
    <t>[%]</t>
  </si>
  <si>
    <t>[°C]</t>
  </si>
  <si>
    <t>[MPa]</t>
  </si>
  <si>
    <t>Frame</t>
  </si>
  <si>
    <t>Engineer</t>
  </si>
  <si>
    <t>[dd/mm/yyyy]</t>
  </si>
  <si>
    <t>(Hrs)</t>
  </si>
  <si>
    <t>(GPa)</t>
  </si>
  <si>
    <t>Cycle</t>
  </si>
  <si>
    <t xml:space="preserve"> (Mpa)</t>
  </si>
  <si>
    <t>[Y/N]</t>
  </si>
  <si>
    <t>in Test</t>
  </si>
  <si>
    <t>Validity</t>
  </si>
  <si>
    <t>SH-21</t>
  </si>
  <si>
    <t>KP/CM</t>
  </si>
  <si>
    <t>No</t>
  </si>
  <si>
    <t>Stop at 23,096 cycles then tensile test @ 20°C. Total Length 76.735mm. Coax outside limit.</t>
  </si>
  <si>
    <t>Stop at 23,096 cycles then tensile test @ 300°C. Total Length 77.090mm</t>
  </si>
  <si>
    <t>Stop at 23,096 cycles then tensile test @ 550°C</t>
  </si>
  <si>
    <t>Stop at 6,075 cycles then tensile test @ 20°C. Total Length 77.0.51mm</t>
  </si>
  <si>
    <t>Stop at 6,075 cycles then tensile test @ 300°C. Total Length 77.021mm</t>
  </si>
  <si>
    <t>Stop at 6,075 cycles then tensile test @ 550°C</t>
  </si>
  <si>
    <t>Stop at 2,242 cycles then tensile test @ 20°C. Total Length 77.010mm</t>
  </si>
  <si>
    <t>Stop at 2,242 cycles then tensile test @ 300°C. Total Length 77.044mm</t>
  </si>
  <si>
    <t>Stop at 2,242 cycles then tensile test @ 550°C</t>
  </si>
  <si>
    <t>Stop at 1,014 cycles then tensile test @ 20°C. Total Length 76.983mm</t>
  </si>
  <si>
    <t>Stop at 1,014 cycles then tensile test @ 300°C. Total Length 77.024mm</t>
  </si>
  <si>
    <t>Stop at 1,014 cycles then tensile test @ 550°C</t>
  </si>
  <si>
    <t>Delete additional Rows as appropriate</t>
  </si>
  <si>
    <t xml:space="preserve">Customer </t>
  </si>
  <si>
    <t>CSA</t>
  </si>
  <si>
    <t>Diameter</t>
  </si>
  <si>
    <t>Heating</t>
  </si>
  <si>
    <t xml:space="preserve">Soak </t>
  </si>
  <si>
    <t xml:space="preserve">Strain </t>
  </si>
  <si>
    <t>Mean</t>
  </si>
  <si>
    <t xml:space="preserve">R </t>
  </si>
  <si>
    <t xml:space="preserve">Loading </t>
  </si>
  <si>
    <t>Start</t>
  </si>
  <si>
    <t>End</t>
  </si>
  <si>
    <t>Test Temp</t>
  </si>
  <si>
    <t>Air Temp</t>
  </si>
  <si>
    <t>Air Humidity</t>
  </si>
  <si>
    <r>
      <t>1</t>
    </r>
    <r>
      <rPr>
        <b/>
        <vertAlign val="superscript"/>
        <sz val="8"/>
        <rFont val="Verdana"/>
        <family val="2"/>
      </rPr>
      <t>st</t>
    </r>
    <r>
      <rPr>
        <b/>
        <sz val="8"/>
        <rFont val="Verdana"/>
        <family val="2"/>
      </rPr>
      <t xml:space="preserve"> Cycle</t>
    </r>
  </si>
  <si>
    <t>½ Life Cycle</t>
  </si>
  <si>
    <t>Test Piece</t>
  </si>
  <si>
    <t>Fracture</t>
  </si>
  <si>
    <t>Comments Affecting Test</t>
  </si>
  <si>
    <t xml:space="preserve">Number of </t>
  </si>
  <si>
    <t>Time</t>
  </si>
  <si>
    <t xml:space="preserve">Time </t>
  </si>
  <si>
    <t xml:space="preserve">Range </t>
  </si>
  <si>
    <t>Max</t>
  </si>
  <si>
    <t>Min</t>
  </si>
  <si>
    <r>
      <t>E</t>
    </r>
    <r>
      <rPr>
        <b/>
        <vertAlign val="subscript"/>
        <sz val="8"/>
        <rFont val="Verdana"/>
        <family val="2"/>
      </rPr>
      <t>1/4</t>
    </r>
  </si>
  <si>
    <t>Number</t>
  </si>
  <si>
    <r>
      <t>σ</t>
    </r>
    <r>
      <rPr>
        <b/>
        <sz val="8"/>
        <rFont val="Calibri"/>
        <family val="2"/>
      </rPr>
      <t xml:space="preserve"> </t>
    </r>
    <r>
      <rPr>
        <b/>
        <sz val="8"/>
        <rFont val="Verdana"/>
        <family val="2"/>
      </rPr>
      <t>Range</t>
    </r>
  </si>
  <si>
    <r>
      <t>Pl ε</t>
    </r>
    <r>
      <rPr>
        <b/>
        <sz val="8"/>
        <rFont val="Calibri"/>
        <family val="2"/>
      </rPr>
      <t xml:space="preserve"> </t>
    </r>
    <r>
      <rPr>
        <b/>
        <sz val="8"/>
        <rFont val="Verdana"/>
        <family val="2"/>
      </rPr>
      <t>Range</t>
    </r>
  </si>
  <si>
    <t>Fractured?</t>
  </si>
  <si>
    <t>Location</t>
  </si>
  <si>
    <t>Amplitude</t>
  </si>
  <si>
    <t>at Half-life</t>
  </si>
  <si>
    <t>Identity</t>
  </si>
  <si>
    <r>
      <t>(mm</t>
    </r>
    <r>
      <rPr>
        <b/>
        <vertAlign val="superscript"/>
        <sz val="8"/>
        <rFont val="Verdana"/>
        <family val="2"/>
      </rPr>
      <t>2</t>
    </r>
    <r>
      <rPr>
        <b/>
        <sz val="8"/>
        <rFont val="Verdana"/>
        <family val="2"/>
      </rPr>
      <t>)</t>
    </r>
  </si>
  <si>
    <t>(mm)</t>
  </si>
  <si>
    <t>Temp (°C)</t>
  </si>
  <si>
    <r>
      <t>(±10</t>
    </r>
    <r>
      <rPr>
        <b/>
        <sz val="8"/>
        <rFont val="Calibri"/>
        <family val="2"/>
      </rPr>
      <t>%</t>
    </r>
    <r>
      <rPr>
        <b/>
        <sz val="8"/>
        <rFont val="Verdana"/>
        <family val="2"/>
      </rPr>
      <t>)</t>
    </r>
  </si>
  <si>
    <t xml:space="preserve"> (MPa)</t>
  </si>
  <si>
    <t>to Failure</t>
  </si>
  <si>
    <t>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</si>
</sst>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d/mm/yy;@"/>
    <numFmt numFmtId="166" formatCode="0.0"/>
    <numFmt numFmtId="167" formatCode="0.0000"/>
  </numFmts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color theme="0"/>
      <name val="Calibri"/>
      <family val="2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8"/>
      <name val="Verdana"/>
      <family val="2"/>
    </font>
    <font>
      <b/>
      <vertAlign val="superscript"/>
      <sz val="8"/>
      <name val="Verdana"/>
      <family val="2"/>
    </font>
    <font>
      <sz val="8"/>
      <color theme="1"/>
      <name val="Verdana"/>
      <family val="2"/>
    </font>
    <font>
      <b/>
      <sz val="8"/>
      <name val="Calibri"/>
      <family val="2"/>
    </font>
    <font>
      <b/>
      <vertAlign val="subscript"/>
      <sz val="8"/>
      <name val="Verdana"/>
      <family val="2"/>
    </font>
    <font>
      <b/>
      <vertAlign val="superscript"/>
      <sz val="11"/>
      <name val="Calibri"/>
      <family val="2"/>
      <scheme val="minor"/>
    </font>
    <font>
      <b/>
      <vertAlign val="subscript"/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75923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D84C3"/>
        <bgColor indexed="64"/>
      </patternFill>
    </fill>
    <fill>
      <patternFill patternType="solid">
        <fgColor rgb="FFDF986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6" tint="0.3999450666829432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0" borderId="0" xfId="0" applyFont="1"/>
    <xf numFmtId="0" fontId="4" fillId="0" borderId="0" xfId="0" applyFont="1"/>
    <xf numFmtId="164" fontId="0" fillId="0" borderId="0" xfId="0" applyNumberFormat="1"/>
    <xf numFmtId="2" fontId="0" fillId="0" borderId="0" xfId="0" applyNumberFormat="1"/>
    <xf numFmtId="164" fontId="2" fillId="0" borderId="0" xfId="0" applyNumberFormat="1" applyFont="1"/>
    <xf numFmtId="0" fontId="6" fillId="2" borderId="0" xfId="0" applyFont="1" applyFill="1"/>
    <xf numFmtId="0" fontId="0" fillId="0" borderId="0" xfId="0" applyAlignment="1">
      <alignment wrapText="1"/>
    </xf>
    <xf numFmtId="164" fontId="11" fillId="2" borderId="1" xfId="0" applyNumberFormat="1" applyFont="1" applyFill="1" applyBorder="1" applyAlignment="1" applyProtection="1">
      <alignment horizontal="center" vertical="center"/>
      <protection locked="0"/>
    </xf>
    <xf numFmtId="1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0" fontId="11" fillId="12" borderId="2" xfId="0" applyFont="1" applyFill="1" applyBorder="1" applyAlignment="1">
      <alignment horizontal="left" vertical="center"/>
    </xf>
    <xf numFmtId="164" fontId="0" fillId="2" borderId="3" xfId="0" applyNumberFormat="1" applyFill="1" applyBorder="1" applyAlignment="1" applyProtection="1">
      <alignment horizontal="center"/>
      <protection locked="0"/>
    </xf>
    <xf numFmtId="164" fontId="0" fillId="2" borderId="1" xfId="0" applyNumberFormat="1" applyFill="1" applyBorder="1" applyAlignment="1" applyProtection="1">
      <alignment horizontal="center"/>
      <protection locked="0"/>
    </xf>
    <xf numFmtId="0" fontId="5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4" fontId="0" fillId="13" borderId="1" xfId="0" applyNumberFormat="1" applyFill="1" applyBorder="1" applyAlignment="1" applyProtection="1">
      <alignment horizontal="center"/>
      <protection locked="0"/>
    </xf>
    <xf numFmtId="0" fontId="11" fillId="0" borderId="0" xfId="0" applyFont="1" applyAlignment="1">
      <alignment horizontal="center" vertical="center"/>
    </xf>
    <xf numFmtId="0" fontId="1" fillId="14" borderId="1" xfId="0" applyFont="1" applyFill="1" applyBorder="1" applyAlignment="1">
      <alignment horizontal="center"/>
    </xf>
    <xf numFmtId="1" fontId="0" fillId="0" borderId="0" xfId="0" applyNumberFormat="1"/>
    <xf numFmtId="164" fontId="1" fillId="14" borderId="1" xfId="0" applyNumberFormat="1" applyFont="1" applyFill="1" applyBorder="1" applyAlignment="1">
      <alignment horizontal="right"/>
    </xf>
    <xf numFmtId="2" fontId="0" fillId="14" borderId="1" xfId="0" applyNumberFormat="1" applyFill="1" applyBorder="1"/>
    <xf numFmtId="0" fontId="6" fillId="0" borderId="0" xfId="0" applyFont="1" applyProtection="1">
      <protection locked="0"/>
    </xf>
    <xf numFmtId="164" fontId="1" fillId="8" borderId="1" xfId="0" applyNumberFormat="1" applyFont="1" applyFill="1" applyBorder="1" applyAlignment="1">
      <alignment horizontal="right"/>
    </xf>
    <xf numFmtId="0" fontId="10" fillId="16" borderId="6" xfId="0" applyFont="1" applyFill="1" applyBorder="1" applyAlignment="1">
      <alignment horizontal="center" vertical="center" wrapText="1"/>
    </xf>
    <xf numFmtId="0" fontId="10" fillId="17" borderId="6" xfId="0" applyFont="1" applyFill="1" applyBorder="1" applyAlignment="1">
      <alignment horizontal="center" vertical="center" wrapText="1"/>
    </xf>
    <xf numFmtId="0" fontId="10" fillId="17" borderId="13" xfId="0" applyFont="1" applyFill="1" applyBorder="1" applyAlignment="1">
      <alignment horizontal="center" vertical="center" wrapText="1"/>
    </xf>
    <xf numFmtId="0" fontId="10" fillId="16" borderId="3" xfId="0" applyFont="1" applyFill="1" applyBorder="1" applyAlignment="1">
      <alignment horizontal="center" vertical="center" wrapText="1"/>
    </xf>
    <xf numFmtId="0" fontId="10" fillId="17" borderId="3" xfId="0" applyFont="1" applyFill="1" applyBorder="1" applyAlignment="1">
      <alignment horizontal="center" vertical="center" wrapText="1"/>
    </xf>
    <xf numFmtId="49" fontId="11" fillId="18" borderId="1" xfId="0" applyNumberFormat="1" applyFont="1" applyFill="1" applyBorder="1" applyAlignment="1" applyProtection="1">
      <alignment horizontal="center" vertical="center"/>
      <protection locked="0"/>
    </xf>
    <xf numFmtId="165" fontId="11" fillId="18" borderId="1" xfId="0" applyNumberFormat="1" applyFont="1" applyFill="1" applyBorder="1" applyAlignment="1" applyProtection="1">
      <alignment horizontal="center" vertical="center"/>
      <protection locked="0"/>
    </xf>
    <xf numFmtId="0" fontId="11" fillId="19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164" fontId="1" fillId="0" borderId="0" xfId="0" applyNumberFormat="1" applyFont="1" applyAlignment="1">
      <alignment horizontal="right"/>
    </xf>
    <xf numFmtId="0" fontId="10" fillId="17" borderId="7" xfId="0" applyFont="1" applyFill="1" applyBorder="1" applyAlignment="1">
      <alignment horizontal="center" vertical="center" wrapText="1"/>
    </xf>
    <xf numFmtId="0" fontId="10" fillId="17" borderId="2" xfId="0" applyFont="1" applyFill="1" applyBorder="1" applyAlignment="1">
      <alignment horizontal="center" vertical="center" wrapText="1"/>
    </xf>
    <xf numFmtId="0" fontId="10" fillId="20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20" borderId="6" xfId="0" applyFont="1" applyFill="1" applyBorder="1" applyAlignment="1">
      <alignment horizontal="center" vertical="center" wrapText="1"/>
    </xf>
    <xf numFmtId="0" fontId="10" fillId="20" borderId="3" xfId="0" applyFont="1" applyFill="1" applyBorder="1" applyAlignment="1">
      <alignment horizontal="center" vertical="center" wrapText="1"/>
    </xf>
    <xf numFmtId="164" fontId="0" fillId="15" borderId="1" xfId="0" applyNumberFormat="1" applyFill="1" applyBorder="1"/>
    <xf numFmtId="0" fontId="0" fillId="15" borderId="1" xfId="0" applyFill="1" applyBorder="1"/>
    <xf numFmtId="1" fontId="0" fillId="15" borderId="1" xfId="0" applyNumberFormat="1" applyFill="1" applyBorder="1"/>
    <xf numFmtId="166" fontId="0" fillId="15" borderId="1" xfId="0" applyNumberFormat="1" applyFill="1" applyBorder="1"/>
    <xf numFmtId="0" fontId="11" fillId="15" borderId="1" xfId="0" applyFont="1" applyFill="1" applyBorder="1" applyAlignment="1">
      <alignment horizontal="left" vertical="center"/>
    </xf>
    <xf numFmtId="0" fontId="0" fillId="15" borderId="0" xfId="0" applyFill="1"/>
    <xf numFmtId="0" fontId="0" fillId="18" borderId="0" xfId="0" applyFill="1"/>
    <xf numFmtId="0" fontId="0" fillId="19" borderId="0" xfId="0" applyFill="1"/>
    <xf numFmtId="0" fontId="0" fillId="21" borderId="0" xfId="0" applyFill="1"/>
    <xf numFmtId="14" fontId="11" fillId="2" borderId="1" xfId="0" applyNumberFormat="1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164" fontId="5" fillId="3" borderId="2" xfId="0" applyNumberFormat="1" applyFont="1" applyFill="1" applyBorder="1" applyAlignment="1">
      <alignment horizontal="center" wrapText="1"/>
    </xf>
    <xf numFmtId="2" fontId="5" fillId="3" borderId="2" xfId="0" applyNumberFormat="1" applyFont="1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center" wrapText="1"/>
    </xf>
    <xf numFmtId="2" fontId="5" fillId="3" borderId="2" xfId="0" applyNumberFormat="1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/>
    </xf>
    <xf numFmtId="164" fontId="5" fillId="3" borderId="3" xfId="0" applyNumberFormat="1" applyFont="1" applyFill="1" applyBorder="1" applyAlignment="1">
      <alignment horizontal="center"/>
    </xf>
    <xf numFmtId="2" fontId="5" fillId="3" borderId="3" xfId="0" applyNumberFormat="1" applyFont="1" applyFill="1" applyBorder="1" applyAlignment="1">
      <alignment horizontal="center"/>
    </xf>
    <xf numFmtId="0" fontId="0" fillId="23" borderId="1" xfId="0" applyFill="1" applyBorder="1" applyAlignment="1" applyProtection="1">
      <alignment horizontal="center"/>
      <protection locked="0"/>
    </xf>
    <xf numFmtId="0" fontId="10" fillId="17" borderId="12" xfId="0" applyFont="1" applyFill="1" applyBorder="1" applyAlignment="1">
      <alignment horizontal="center" vertical="center" wrapText="1"/>
    </xf>
    <xf numFmtId="0" fontId="10" fillId="17" borderId="14" xfId="0" applyFont="1" applyFill="1" applyBorder="1" applyAlignment="1">
      <alignment horizontal="center" vertical="center" wrapText="1"/>
    </xf>
    <xf numFmtId="2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6" fillId="0" borderId="0" xfId="0" applyFont="1"/>
    <xf numFmtId="2" fontId="14" fillId="0" borderId="0" xfId="0" applyNumberFormat="1" applyFont="1" applyProtection="1">
      <protection locked="0"/>
    </xf>
    <xf numFmtId="2" fontId="14" fillId="0" borderId="0" xfId="0" applyNumberFormat="1" applyFont="1"/>
    <xf numFmtId="2" fontId="17" fillId="0" borderId="0" xfId="0" applyNumberFormat="1" applyFont="1"/>
    <xf numFmtId="2" fontId="16" fillId="0" borderId="0" xfId="0" applyNumberFormat="1" applyFont="1"/>
    <xf numFmtId="2" fontId="14" fillId="0" borderId="0" xfId="0" applyNumberFormat="1" applyFont="1" applyAlignment="1" applyProtection="1">
      <alignment horizontal="center"/>
      <protection locked="0"/>
    </xf>
    <xf numFmtId="0" fontId="18" fillId="8" borderId="2" xfId="0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 vertical="center"/>
    </xf>
    <xf numFmtId="0" fontId="18" fillId="8" borderId="2" xfId="0" applyFont="1" applyFill="1" applyBorder="1" applyAlignment="1" applyProtection="1">
      <alignment horizontal="center" vertical="center"/>
      <protection locked="0"/>
    </xf>
    <xf numFmtId="0" fontId="18" fillId="8" borderId="6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 vertical="center"/>
    </xf>
    <xf numFmtId="0" fontId="18" fillId="8" borderId="6" xfId="0" applyFont="1" applyFill="1" applyBorder="1" applyAlignment="1" applyProtection="1">
      <alignment horizontal="center" vertical="center"/>
      <protection locked="0"/>
    </xf>
    <xf numFmtId="0" fontId="18" fillId="8" borderId="13" xfId="0" applyFont="1" applyFill="1" applyBorder="1" applyAlignment="1" applyProtection="1">
      <alignment horizontal="center" vertical="center"/>
      <protection locked="0"/>
    </xf>
    <xf numFmtId="0" fontId="18" fillId="8" borderId="3" xfId="0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horizontal="center" vertical="center"/>
    </xf>
    <xf numFmtId="0" fontId="18" fillId="8" borderId="3" xfId="0" applyFont="1" applyFill="1" applyBorder="1" applyAlignment="1" applyProtection="1">
      <alignment horizontal="center" vertical="center"/>
      <protection locked="0"/>
    </xf>
    <xf numFmtId="0" fontId="18" fillId="8" borderId="7" xfId="0" applyFont="1" applyFill="1" applyBorder="1" applyAlignment="1" applyProtection="1">
      <alignment horizontal="center" vertical="center"/>
      <protection locked="0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2" fontId="20" fillId="0" borderId="1" xfId="0" applyNumberFormat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 applyProtection="1">
      <alignment horizontal="center" vertical="center"/>
      <protection locked="0"/>
    </xf>
    <xf numFmtId="0" fontId="20" fillId="0" borderId="1" xfId="0" applyFont="1" applyBorder="1" applyAlignment="1">
      <alignment horizontal="left" vertical="center"/>
    </xf>
    <xf numFmtId="2" fontId="16" fillId="0" borderId="0" xfId="0" applyNumberFormat="1" applyFont="1" applyAlignment="1">
      <alignment vertical="center" wrapText="1"/>
    </xf>
    <xf numFmtId="0" fontId="18" fillId="8" borderId="12" xfId="0" applyFont="1" applyFill="1" applyBorder="1" applyAlignment="1" applyProtection="1">
      <alignment horizontal="center" vertical="center"/>
      <protection locked="0"/>
    </xf>
    <xf numFmtId="166" fontId="0" fillId="2" borderId="1" xfId="0" applyNumberFormat="1" applyFill="1" applyBorder="1" applyAlignment="1" applyProtection="1">
      <alignment horizontal="center"/>
      <protection locked="0"/>
    </xf>
    <xf numFmtId="3" fontId="20" fillId="0" borderId="1" xfId="0" applyNumberFormat="1" applyFont="1" applyBorder="1" applyAlignment="1">
      <alignment horizontal="center" vertical="center"/>
    </xf>
    <xf numFmtId="3" fontId="20" fillId="0" borderId="1" xfId="0" applyNumberFormat="1" applyFont="1" applyBorder="1" applyAlignment="1" applyProtection="1">
      <alignment horizontal="center" vertical="center"/>
      <protection locked="0"/>
    </xf>
    <xf numFmtId="167" fontId="20" fillId="0" borderId="1" xfId="0" applyNumberFormat="1" applyFont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167" fontId="0" fillId="15" borderId="3" xfId="0" applyNumberFormat="1" applyFill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2" fontId="0" fillId="22" borderId="1" xfId="0" applyNumberFormat="1" applyFill="1" applyBorder="1" applyAlignment="1" applyProtection="1">
      <alignment horizontal="center"/>
      <protection locked="0"/>
    </xf>
    <xf numFmtId="3" fontId="0" fillId="22" borderId="1" xfId="0" applyNumberFormat="1" applyFill="1" applyBorder="1" applyAlignment="1" applyProtection="1">
      <alignment horizontal="center"/>
      <protection locked="0"/>
    </xf>
    <xf numFmtId="2" fontId="0" fillId="8" borderId="1" xfId="0" applyNumberFormat="1" applyFill="1" applyBorder="1" applyAlignment="1" applyProtection="1">
      <alignment horizontal="center"/>
      <protection locked="0"/>
    </xf>
    <xf numFmtId="14" fontId="0" fillId="2" borderId="1" xfId="0" applyNumberFormat="1" applyFill="1" applyBorder="1" applyAlignment="1" applyProtection="1">
      <alignment horizontal="center"/>
      <protection locked="0"/>
    </xf>
    <xf numFmtId="0" fontId="0" fillId="15" borderId="1" xfId="0" applyFill="1" applyBorder="1" applyAlignment="1">
      <alignment horizontal="center"/>
    </xf>
    <xf numFmtId="0" fontId="0" fillId="13" borderId="1" xfId="0" applyFill="1" applyBorder="1" applyAlignment="1" applyProtection="1">
      <alignment horizontal="left"/>
      <protection locked="0"/>
    </xf>
    <xf numFmtId="0" fontId="6" fillId="13" borderId="8" xfId="0" applyFont="1" applyFill="1" applyBorder="1" applyAlignment="1" applyProtection="1">
      <alignment horizontal="center"/>
      <protection locked="0"/>
    </xf>
    <xf numFmtId="0" fontId="6" fillId="13" borderId="9" xfId="0" applyFont="1" applyFill="1" applyBorder="1" applyAlignment="1" applyProtection="1">
      <alignment horizontal="center"/>
      <protection locked="0"/>
    </xf>
    <xf numFmtId="0" fontId="6" fillId="13" borderId="10" xfId="0" applyFont="1" applyFill="1" applyBorder="1" applyAlignment="1" applyProtection="1">
      <alignment horizontal="center"/>
      <protection locked="0"/>
    </xf>
    <xf numFmtId="164" fontId="1" fillId="14" borderId="1" xfId="0" applyNumberFormat="1" applyFont="1" applyFill="1" applyBorder="1" applyAlignment="1">
      <alignment horizontal="right"/>
    </xf>
    <xf numFmtId="0" fontId="1" fillId="14" borderId="1" xfId="0" applyFont="1" applyFill="1" applyBorder="1" applyAlignment="1">
      <alignment horizontal="center"/>
    </xf>
    <xf numFmtId="0" fontId="10" fillId="20" borderId="1" xfId="0" applyFont="1" applyFill="1" applyBorder="1" applyAlignment="1">
      <alignment horizontal="center" vertical="center"/>
    </xf>
    <xf numFmtId="0" fontId="10" fillId="17" borderId="5" xfId="0" applyFont="1" applyFill="1" applyBorder="1" applyAlignment="1">
      <alignment horizontal="center" vertical="center" wrapText="1"/>
    </xf>
    <xf numFmtId="0" fontId="10" fillId="17" borderId="11" xfId="0" applyFont="1" applyFill="1" applyBorder="1" applyAlignment="1">
      <alignment horizontal="center" vertical="center" wrapText="1"/>
    </xf>
    <xf numFmtId="0" fontId="10" fillId="17" borderId="12" xfId="0" applyFont="1" applyFill="1" applyBorder="1" applyAlignment="1">
      <alignment horizontal="center" vertical="center" wrapText="1"/>
    </xf>
    <xf numFmtId="0" fontId="10" fillId="17" borderId="7" xfId="0" applyFont="1" applyFill="1" applyBorder="1" applyAlignment="1">
      <alignment horizontal="center" vertical="center" wrapText="1"/>
    </xf>
    <xf numFmtId="0" fontId="10" fillId="17" borderId="4" xfId="0" applyFont="1" applyFill="1" applyBorder="1" applyAlignment="1">
      <alignment horizontal="center" vertical="center" wrapText="1"/>
    </xf>
    <xf numFmtId="0" fontId="10" fillId="17" borderId="14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/>
    </xf>
    <xf numFmtId="164" fontId="1" fillId="8" borderId="1" xfId="0" applyNumberFormat="1" applyFont="1" applyFill="1" applyBorder="1" applyAlignment="1">
      <alignment horizontal="right"/>
    </xf>
    <xf numFmtId="0" fontId="5" fillId="3" borderId="1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0" fillId="2" borderId="1" xfId="0" applyFill="1" applyBorder="1" applyAlignment="1" applyProtection="1">
      <alignment horizontal="left"/>
      <protection locked="0"/>
    </xf>
    <xf numFmtId="0" fontId="5" fillId="3" borderId="1" xfId="0" applyFont="1" applyFill="1" applyBorder="1" applyAlignment="1">
      <alignment horizontal="center" wrapText="1"/>
    </xf>
    <xf numFmtId="0" fontId="6" fillId="15" borderId="8" xfId="0" applyFont="1" applyFill="1" applyBorder="1" applyAlignment="1">
      <alignment horizontal="center"/>
    </xf>
    <xf numFmtId="0" fontId="6" fillId="15" borderId="9" xfId="0" applyFont="1" applyFill="1" applyBorder="1" applyAlignment="1">
      <alignment horizontal="center"/>
    </xf>
    <xf numFmtId="0" fontId="6" fillId="15" borderId="10" xfId="0" applyFont="1" applyFill="1" applyBorder="1" applyAlignment="1">
      <alignment horizontal="center"/>
    </xf>
    <xf numFmtId="0" fontId="18" fillId="8" borderId="5" xfId="0" applyFont="1" applyFill="1" applyBorder="1" applyAlignment="1" applyProtection="1">
      <alignment horizontal="center" vertical="center"/>
      <protection locked="0"/>
    </xf>
    <xf numFmtId="0" fontId="18" fillId="8" borderId="11" xfId="0" applyFont="1" applyFill="1" applyBorder="1" applyAlignment="1" applyProtection="1">
      <alignment horizontal="center" vertical="center"/>
      <protection locked="0"/>
    </xf>
    <xf numFmtId="0" fontId="18" fillId="8" borderId="12" xfId="0" applyFont="1" applyFill="1" applyBorder="1" applyAlignment="1" applyProtection="1">
      <alignment horizontal="center" vertical="center"/>
      <protection locked="0"/>
    </xf>
    <xf numFmtId="164" fontId="1" fillId="8" borderId="8" xfId="0" applyNumberFormat="1" applyFont="1" applyFill="1" applyBorder="1" applyAlignment="1">
      <alignment horizontal="right"/>
    </xf>
    <xf numFmtId="164" fontId="1" fillId="8" borderId="9" xfId="0" applyNumberFormat="1" applyFont="1" applyFill="1" applyBorder="1" applyAlignment="1">
      <alignment horizontal="right"/>
    </xf>
    <xf numFmtId="164" fontId="1" fillId="8" borderId="10" xfId="0" applyNumberFormat="1" applyFont="1" applyFill="1" applyBorder="1" applyAlignment="1">
      <alignment horizontal="right"/>
    </xf>
    <xf numFmtId="0" fontId="18" fillId="8" borderId="5" xfId="0" applyFont="1" applyFill="1" applyBorder="1" applyAlignment="1">
      <alignment horizontal="center" vertical="center"/>
    </xf>
    <xf numFmtId="0" fontId="18" fillId="8" borderId="12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ont>
        <color theme="1"/>
      </font>
      <fill>
        <patternFill>
          <fgColor rgb="FFBB3B3B"/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rgb="FF5D84C3"/>
        </patternFill>
      </fill>
    </dxf>
    <dxf>
      <fill>
        <patternFill>
          <bgColor rgb="FFDF9863"/>
        </patternFill>
      </fill>
    </dxf>
    <dxf>
      <fill>
        <patternFill>
          <bgColor rgb="FF75923C"/>
        </patternFill>
      </fill>
    </dxf>
    <dxf>
      <font>
        <color theme="0"/>
      </font>
      <fill>
        <patternFill>
          <bgColor theme="1" tint="4.9989318521683403E-2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504825</xdr:colOff>
      <xdr:row>35</xdr:row>
      <xdr:rowOff>38100</xdr:rowOff>
    </xdr:from>
    <xdr:to>
      <xdr:col>7</xdr:col>
      <xdr:colOff>230534</xdr:colOff>
      <xdr:row>36</xdr:row>
      <xdr:rowOff>12206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62425" y="4781550"/>
          <a:ext cx="335309" cy="164606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47625</xdr:rowOff>
    </xdr:from>
    <xdr:to>
      <xdr:col>4</xdr:col>
      <xdr:colOff>457200</xdr:colOff>
      <xdr:row>3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586831-0211-4623-B73C-E71D8B3E7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47625"/>
          <a:ext cx="2847975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409575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A576F6-4FAA-4918-A90F-C632773C7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105275" cy="571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409575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950D8C-05F5-4889-9C20-06565C35E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99932" cy="6123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409575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FC037A-4483-4B47-BE76-CF95AD077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576638" cy="571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85725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408D1F-B13E-419D-A418-9E0D8C284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581400" cy="57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smartserver.swan.ac.uk\data\L6.%20Calibration\2.%20Quality\2.%20CATS\1.%20CAT%20files\SMaRT_QS5.10c(18)%20Tensile%20Summary%20Data%20V1.0%20DRAF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Test Diary"/>
      <sheetName val="Test Summary"/>
      <sheetName val="Data Entry"/>
      <sheetName val=" Report Tables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5:O36"/>
  <sheetViews>
    <sheetView showGridLines="0" workbookViewId="0">
      <selection activeCell="I9" sqref="I9"/>
    </sheetView>
  </sheetViews>
  <sheetFormatPr defaultColWidth="9.140625" defaultRowHeight="15"/>
  <sheetData>
    <row r="5" spans="1:15">
      <c r="A5" s="1" t="s">
        <v>0</v>
      </c>
    </row>
    <row r="6" spans="1:15">
      <c r="I6" t="s">
        <v>1</v>
      </c>
    </row>
    <row r="7" spans="1:15" ht="18.75">
      <c r="A7" s="2" t="s">
        <v>2</v>
      </c>
      <c r="I7" t="s">
        <v>3</v>
      </c>
    </row>
    <row r="8" spans="1:15" ht="18.75">
      <c r="A8" s="2" t="s">
        <v>4</v>
      </c>
      <c r="I8" t="s">
        <v>5</v>
      </c>
    </row>
    <row r="10" spans="1:15">
      <c r="A10" t="s">
        <v>6</v>
      </c>
    </row>
    <row r="11" spans="1:15">
      <c r="A11" t="s">
        <v>7</v>
      </c>
    </row>
    <row r="13" spans="1:15">
      <c r="A13" s="6" t="s">
        <v>8</v>
      </c>
      <c r="B13" s="6"/>
      <c r="C13" s="6"/>
      <c r="D13" s="6"/>
      <c r="E13" s="6"/>
      <c r="F13" s="6"/>
      <c r="G13" s="6"/>
    </row>
    <row r="15" spans="1:15">
      <c r="A15" s="54" t="s">
        <v>9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</row>
    <row r="17" spans="1:15">
      <c r="A17" t="s">
        <v>10</v>
      </c>
    </row>
    <row r="19" spans="1:15">
      <c r="A19" s="55" t="s">
        <v>11</v>
      </c>
      <c r="B19" s="55"/>
      <c r="C19" s="55"/>
      <c r="D19" s="55"/>
      <c r="E19" s="55"/>
      <c r="F19" s="55"/>
      <c r="G19" s="55"/>
      <c r="H19" s="56"/>
      <c r="I19" s="56"/>
      <c r="J19" s="56"/>
      <c r="K19" s="56"/>
      <c r="L19" s="56"/>
      <c r="M19" s="56"/>
      <c r="N19" s="56"/>
      <c r="O19" s="56"/>
    </row>
    <row r="20" spans="1:15">
      <c r="A20" t="s">
        <v>12</v>
      </c>
    </row>
    <row r="22" spans="1:15">
      <c r="A22" t="s">
        <v>13</v>
      </c>
    </row>
    <row r="24" spans="1:15">
      <c r="A24" s="57" t="s">
        <v>14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</row>
    <row r="26" spans="1:15">
      <c r="A26" t="s">
        <v>15</v>
      </c>
    </row>
    <row r="28" spans="1:15">
      <c r="A28" t="s">
        <v>16</v>
      </c>
    </row>
    <row r="29" spans="1:15" ht="18">
      <c r="A29" t="s">
        <v>17</v>
      </c>
    </row>
    <row r="30" spans="1:15" ht="18">
      <c r="A30" t="s">
        <v>18</v>
      </c>
    </row>
    <row r="31" spans="1:15" ht="18">
      <c r="A31" t="s">
        <v>19</v>
      </c>
    </row>
    <row r="32" spans="1:15" ht="18">
      <c r="A32" t="s">
        <v>20</v>
      </c>
    </row>
    <row r="34" spans="1:6">
      <c r="A34" s="6" t="s">
        <v>21</v>
      </c>
      <c r="B34" s="6"/>
      <c r="C34" s="6"/>
      <c r="D34" s="6"/>
      <c r="E34" s="6"/>
      <c r="F34" s="6"/>
    </row>
    <row r="36" spans="1:6">
      <c r="A36" t="s">
        <v>22</v>
      </c>
    </row>
  </sheetData>
  <sheetProtection algorithmName="SHA-512" hashValue="PnQlwl8ck3np+gBHxTcrJs+jeXF69B7exOgCaXfo9MxBs5ard50yrw7brEzcTsC3T8au4moufNLByMWwRwE3yw==" saltValue="XHOQacwX6Pz9Qf6v4Ruabw==" spinCount="100000" sheet="1" selectLockedCells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Q100"/>
  <sheetViews>
    <sheetView workbookViewId="0">
      <selection activeCell="C20" sqref="C20:N20"/>
    </sheetView>
  </sheetViews>
  <sheetFormatPr defaultRowHeight="15"/>
  <cols>
    <col min="1" max="2" width="16.7109375" customWidth="1"/>
    <col min="3" max="3" width="12.85546875" customWidth="1"/>
  </cols>
  <sheetData>
    <row r="1" spans="1:43">
      <c r="E1" s="4"/>
      <c r="F1" s="4"/>
      <c r="G1" s="4"/>
      <c r="H1" s="30"/>
      <c r="I1" s="30"/>
      <c r="J1" s="29" t="s">
        <v>23</v>
      </c>
      <c r="K1" s="116" t="s">
        <v>24</v>
      </c>
      <c r="L1" s="117"/>
      <c r="M1" s="117"/>
      <c r="N1" s="118"/>
      <c r="O1" s="3"/>
      <c r="P1" s="3"/>
      <c r="R1" s="28"/>
      <c r="U1" s="3"/>
      <c r="V1" s="3"/>
      <c r="W1" s="4"/>
      <c r="AC1" s="28"/>
      <c r="AD1" s="28"/>
      <c r="AM1" s="31"/>
      <c r="AN1" s="31"/>
      <c r="AO1" s="23"/>
      <c r="AP1" s="23"/>
      <c r="AQ1" s="23"/>
    </row>
    <row r="2" spans="1:43">
      <c r="E2" s="4"/>
      <c r="F2" s="4"/>
      <c r="G2" s="4"/>
      <c r="H2" s="30"/>
      <c r="I2" s="30"/>
      <c r="J2" s="29" t="s">
        <v>25</v>
      </c>
      <c r="K2" s="116" t="s">
        <v>26</v>
      </c>
      <c r="L2" s="117"/>
      <c r="M2" s="117"/>
      <c r="N2" s="118"/>
      <c r="O2" s="3"/>
      <c r="P2" s="3"/>
      <c r="R2" s="28"/>
      <c r="U2" s="3"/>
      <c r="V2" s="3"/>
      <c r="W2" s="4"/>
      <c r="AC2" s="28"/>
      <c r="AD2" s="28"/>
      <c r="AM2" s="31"/>
      <c r="AN2" s="31"/>
      <c r="AO2" s="23"/>
      <c r="AP2" s="23"/>
      <c r="AQ2" s="23"/>
    </row>
    <row r="3" spans="1:43">
      <c r="E3" s="4"/>
      <c r="F3" s="4"/>
      <c r="G3" s="4"/>
      <c r="H3" s="119" t="s">
        <v>27</v>
      </c>
      <c r="I3" s="119"/>
      <c r="J3" s="119"/>
      <c r="K3" s="116" t="s">
        <v>28</v>
      </c>
      <c r="L3" s="117"/>
      <c r="M3" s="117"/>
      <c r="N3" s="118"/>
      <c r="O3" s="3"/>
      <c r="P3" s="3"/>
      <c r="R3" s="28"/>
      <c r="U3" s="3"/>
      <c r="V3" s="3"/>
      <c r="W3" s="4"/>
      <c r="AC3" s="28"/>
      <c r="AD3" s="28"/>
      <c r="AO3" s="23"/>
      <c r="AP3" s="23"/>
      <c r="AQ3" s="23"/>
    </row>
    <row r="4" spans="1:43">
      <c r="E4" s="4"/>
      <c r="F4" s="4"/>
      <c r="G4" s="4"/>
      <c r="H4" s="30"/>
      <c r="I4" s="30"/>
      <c r="J4" s="29" t="s">
        <v>29</v>
      </c>
      <c r="K4" s="116" t="s">
        <v>30</v>
      </c>
      <c r="L4" s="117"/>
      <c r="M4" s="117"/>
      <c r="N4" s="118"/>
      <c r="O4" s="3"/>
      <c r="P4" s="3"/>
      <c r="R4" s="28"/>
      <c r="U4" s="3"/>
      <c r="V4" s="3"/>
      <c r="W4" s="4"/>
      <c r="AC4" s="28"/>
      <c r="AD4" s="28"/>
      <c r="AO4" s="23"/>
      <c r="AP4" s="23"/>
      <c r="AQ4" s="23"/>
    </row>
    <row r="5" spans="1:43">
      <c r="A5" s="1" t="s">
        <v>0</v>
      </c>
      <c r="E5" s="4"/>
      <c r="F5" s="4"/>
      <c r="G5" s="4"/>
      <c r="H5" s="4"/>
      <c r="I5" s="4"/>
      <c r="J5" s="4"/>
      <c r="K5" s="4"/>
      <c r="L5" s="4"/>
      <c r="M5" s="4"/>
      <c r="O5" s="3"/>
      <c r="P5" s="3"/>
      <c r="R5" s="28"/>
      <c r="U5" s="3"/>
      <c r="V5" s="3"/>
      <c r="W5" s="4"/>
      <c r="AC5" s="28"/>
      <c r="AD5" s="28"/>
      <c r="AO5" s="23"/>
      <c r="AP5" s="23"/>
      <c r="AQ5" s="23"/>
    </row>
    <row r="6" spans="1:43">
      <c r="A6" s="1"/>
      <c r="E6" s="4"/>
      <c r="F6" s="4"/>
      <c r="G6" s="4"/>
      <c r="H6" s="4"/>
      <c r="I6" s="4"/>
      <c r="J6" s="4"/>
      <c r="K6" s="4"/>
      <c r="L6" s="4"/>
      <c r="M6" s="4"/>
      <c r="O6" s="3"/>
      <c r="P6" s="3"/>
      <c r="R6" s="28"/>
      <c r="U6" s="3"/>
      <c r="V6" s="3"/>
      <c r="W6" s="4"/>
      <c r="AC6" s="28"/>
      <c r="AD6" s="28"/>
      <c r="AO6" s="23"/>
      <c r="AP6" s="23"/>
      <c r="AQ6" s="23"/>
    </row>
    <row r="7" spans="1:43" ht="18.75">
      <c r="A7" s="2" t="s">
        <v>2</v>
      </c>
      <c r="E7" s="4"/>
      <c r="F7" s="4"/>
      <c r="G7" s="4"/>
      <c r="H7" s="4"/>
      <c r="I7" s="4"/>
      <c r="J7" s="4"/>
      <c r="K7" s="4"/>
      <c r="L7" s="4"/>
      <c r="M7" s="4"/>
      <c r="O7" s="3"/>
      <c r="P7" s="3"/>
      <c r="R7" s="28"/>
      <c r="U7" s="3"/>
      <c r="V7" s="3"/>
      <c r="W7" s="4"/>
      <c r="AC7" s="28"/>
      <c r="AD7" s="28"/>
      <c r="AO7" s="23"/>
      <c r="AP7" s="23"/>
      <c r="AQ7" s="23"/>
    </row>
    <row r="8" spans="1:43" ht="18.75">
      <c r="A8" s="2" t="s">
        <v>4</v>
      </c>
      <c r="E8" s="4"/>
      <c r="F8" s="4"/>
      <c r="G8" s="4"/>
      <c r="H8" s="4"/>
      <c r="I8" s="4"/>
      <c r="J8" s="4"/>
      <c r="K8" s="4"/>
      <c r="L8" s="4"/>
      <c r="M8" s="4"/>
      <c r="O8" s="3"/>
      <c r="P8" s="3"/>
      <c r="R8" s="28"/>
      <c r="U8" s="3"/>
      <c r="V8" s="3"/>
      <c r="W8" s="4"/>
      <c r="AC8" s="28"/>
      <c r="AD8" s="28"/>
      <c r="AO8" s="23"/>
      <c r="AP8" s="23"/>
      <c r="AQ8" s="23"/>
    </row>
    <row r="10" spans="1:43" ht="15.75">
      <c r="A10" s="27" t="s">
        <v>31</v>
      </c>
      <c r="B10" s="27" t="s">
        <v>32</v>
      </c>
      <c r="C10" s="120" t="s">
        <v>33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Y10" s="26"/>
    </row>
    <row r="11" spans="1:43" ht="15.75">
      <c r="A11" s="25">
        <v>45496</v>
      </c>
      <c r="B11" s="25" t="s">
        <v>30</v>
      </c>
      <c r="C11" s="115" t="s">
        <v>34</v>
      </c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Y11" s="26"/>
    </row>
    <row r="12" spans="1:43" ht="15.75">
      <c r="A12" s="25"/>
      <c r="B12" s="2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Y12" s="26"/>
    </row>
    <row r="13" spans="1:43" ht="15.75">
      <c r="A13" s="25"/>
      <c r="B13" s="2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Y13" s="26"/>
    </row>
    <row r="14" spans="1:43" ht="15.75">
      <c r="A14" s="25"/>
      <c r="B14" s="2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Y14" s="26"/>
    </row>
    <row r="15" spans="1:43" ht="15.75">
      <c r="A15" s="25"/>
      <c r="B15" s="2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Y15" s="26"/>
    </row>
    <row r="16" spans="1:43" ht="15.75">
      <c r="A16" s="25"/>
      <c r="B16" s="2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Y16" s="26"/>
    </row>
    <row r="17" spans="1:25" ht="15.75">
      <c r="A17" s="25"/>
      <c r="B17" s="2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Y17" s="26"/>
    </row>
    <row r="18" spans="1:25" ht="15.75">
      <c r="A18" s="25"/>
      <c r="B18" s="2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Y18" s="26"/>
    </row>
    <row r="19" spans="1:25" ht="15.75">
      <c r="A19" s="25"/>
      <c r="B19" s="2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Y19" s="26"/>
    </row>
    <row r="20" spans="1:25" ht="15.75">
      <c r="A20" s="25"/>
      <c r="B20" s="2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Y20" s="26"/>
    </row>
    <row r="21" spans="1:25">
      <c r="A21" s="25"/>
      <c r="B21" s="2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</row>
    <row r="22" spans="1:25">
      <c r="A22" s="25"/>
      <c r="B22" s="2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</row>
    <row r="23" spans="1:25">
      <c r="A23" s="25"/>
      <c r="B23" s="2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</row>
    <row r="24" spans="1:25">
      <c r="A24" s="25"/>
      <c r="B24" s="2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</row>
    <row r="25" spans="1:25">
      <c r="A25" s="25"/>
      <c r="B25" s="2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</row>
    <row r="26" spans="1:25">
      <c r="A26" s="25"/>
      <c r="B26" s="2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</row>
    <row r="27" spans="1:25">
      <c r="A27" s="25"/>
      <c r="B27" s="2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</row>
    <row r="28" spans="1:25">
      <c r="A28" s="25"/>
      <c r="B28" s="2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</row>
    <row r="29" spans="1:25">
      <c r="A29" s="25"/>
      <c r="B29" s="2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</row>
    <row r="30" spans="1:25">
      <c r="A30" s="25"/>
      <c r="B30" s="2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</row>
    <row r="31" spans="1:25">
      <c r="A31" s="25"/>
      <c r="B31" s="2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</row>
    <row r="32" spans="1:25">
      <c r="A32" s="25"/>
      <c r="B32" s="2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</row>
    <row r="33" spans="1:14">
      <c r="A33" s="25"/>
      <c r="B33" s="2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</row>
    <row r="34" spans="1:14">
      <c r="A34" s="25"/>
      <c r="B34" s="2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</row>
    <row r="35" spans="1:14">
      <c r="A35" s="25"/>
      <c r="B35" s="2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</row>
    <row r="36" spans="1:14">
      <c r="A36" s="25"/>
      <c r="B36" s="2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</row>
    <row r="37" spans="1:14">
      <c r="A37" s="25"/>
      <c r="B37" s="2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</row>
    <row r="38" spans="1:14">
      <c r="A38" s="25"/>
      <c r="B38" s="2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</row>
    <row r="39" spans="1:14">
      <c r="A39" s="25"/>
      <c r="B39" s="2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</row>
    <row r="40" spans="1:14">
      <c r="A40" s="25"/>
      <c r="B40" s="2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</row>
    <row r="41" spans="1:14">
      <c r="A41" s="25"/>
      <c r="B41" s="2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</row>
    <row r="42" spans="1:14">
      <c r="A42" s="25"/>
      <c r="B42" s="2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</row>
    <row r="43" spans="1:14">
      <c r="A43" s="25"/>
      <c r="B43" s="2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</row>
    <row r="44" spans="1:14">
      <c r="A44" s="25"/>
      <c r="B44" s="2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</row>
    <row r="45" spans="1:14">
      <c r="A45" s="25"/>
      <c r="B45" s="2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</row>
    <row r="46" spans="1:14">
      <c r="A46" s="25"/>
      <c r="B46" s="2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</row>
    <row r="47" spans="1:14">
      <c r="A47" s="25"/>
      <c r="B47" s="2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</row>
    <row r="48" spans="1:14">
      <c r="A48" s="25"/>
      <c r="B48" s="2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</row>
    <row r="49" spans="1:14">
      <c r="A49" s="25"/>
      <c r="B49" s="2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</row>
    <row r="50" spans="1:14">
      <c r="A50" s="25"/>
      <c r="B50" s="2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</row>
    <row r="51" spans="1:14">
      <c r="A51" s="25"/>
      <c r="B51" s="2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</row>
    <row r="52" spans="1:14">
      <c r="A52" s="25"/>
      <c r="B52" s="2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</row>
    <row r="53" spans="1:14">
      <c r="A53" s="25"/>
      <c r="B53" s="2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</row>
    <row r="54" spans="1:14">
      <c r="A54" s="25"/>
      <c r="B54" s="2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</row>
    <row r="55" spans="1:14">
      <c r="A55" s="25"/>
      <c r="B55" s="2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</row>
    <row r="56" spans="1:14">
      <c r="A56" s="25"/>
      <c r="B56" s="2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</row>
    <row r="57" spans="1:14">
      <c r="A57" s="25"/>
      <c r="B57" s="2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</row>
    <row r="58" spans="1:14">
      <c r="A58" s="25"/>
      <c r="B58" s="2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</row>
    <row r="59" spans="1:14">
      <c r="A59" s="25"/>
      <c r="B59" s="2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</row>
    <row r="60" spans="1:14">
      <c r="A60" s="25"/>
      <c r="B60" s="2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</row>
    <row r="61" spans="1:14">
      <c r="A61" s="25"/>
      <c r="B61" s="2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</row>
    <row r="62" spans="1:14">
      <c r="A62" s="25"/>
      <c r="B62" s="2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</row>
    <row r="63" spans="1:14">
      <c r="A63" s="25"/>
      <c r="B63" s="2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</row>
    <row r="64" spans="1:14">
      <c r="A64" s="25"/>
      <c r="B64" s="2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</row>
    <row r="65" spans="1:14">
      <c r="A65" s="25"/>
      <c r="B65" s="2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</row>
    <row r="66" spans="1:14">
      <c r="A66" s="25"/>
      <c r="B66" s="2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</row>
    <row r="67" spans="1:14">
      <c r="A67" s="25"/>
      <c r="B67" s="2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</row>
    <row r="68" spans="1:14">
      <c r="A68" s="25"/>
      <c r="B68" s="2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</row>
    <row r="69" spans="1:14">
      <c r="A69" s="25"/>
      <c r="B69" s="2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</row>
    <row r="70" spans="1:14">
      <c r="A70" s="25"/>
      <c r="B70" s="2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</row>
    <row r="71" spans="1:14">
      <c r="A71" s="25"/>
      <c r="B71" s="2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</row>
    <row r="72" spans="1:14">
      <c r="A72" s="25"/>
      <c r="B72" s="2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</row>
    <row r="73" spans="1:14">
      <c r="A73" s="25"/>
      <c r="B73" s="2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</row>
    <row r="74" spans="1:14">
      <c r="A74" s="25"/>
      <c r="B74" s="2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</row>
    <row r="75" spans="1:14">
      <c r="A75" s="25"/>
      <c r="B75" s="2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</row>
    <row r="76" spans="1:14">
      <c r="A76" s="25"/>
      <c r="B76" s="2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</row>
    <row r="77" spans="1:14">
      <c r="A77" s="25"/>
      <c r="B77" s="2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</row>
    <row r="78" spans="1:14">
      <c r="A78" s="25"/>
      <c r="B78" s="2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</row>
    <row r="79" spans="1:14">
      <c r="A79" s="25"/>
      <c r="B79" s="2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</row>
    <row r="80" spans="1:14">
      <c r="A80" s="25"/>
      <c r="B80" s="2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</row>
    <row r="81" spans="1:14">
      <c r="A81" s="25"/>
      <c r="B81" s="2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</row>
    <row r="82" spans="1:14">
      <c r="A82" s="25"/>
      <c r="B82" s="2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</row>
    <row r="83" spans="1:14">
      <c r="A83" s="25"/>
      <c r="B83" s="2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</row>
    <row r="84" spans="1:14">
      <c r="A84" s="25"/>
      <c r="B84" s="2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</row>
    <row r="85" spans="1:14">
      <c r="A85" s="25"/>
      <c r="B85" s="2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</row>
    <row r="86" spans="1:14">
      <c r="A86" s="25"/>
      <c r="B86" s="2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</row>
    <row r="87" spans="1:14">
      <c r="A87" s="25"/>
      <c r="B87" s="2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</row>
    <row r="88" spans="1:14">
      <c r="A88" s="25"/>
      <c r="B88" s="2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</row>
    <row r="89" spans="1:14">
      <c r="A89" s="25"/>
      <c r="B89" s="2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</row>
    <row r="90" spans="1:14">
      <c r="A90" s="25"/>
      <c r="B90" s="2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</row>
    <row r="91" spans="1:14">
      <c r="A91" s="25"/>
      <c r="B91" s="2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</row>
    <row r="92" spans="1:14">
      <c r="A92" s="25"/>
      <c r="B92" s="2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</row>
    <row r="93" spans="1:14">
      <c r="A93" s="25"/>
      <c r="B93" s="2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</row>
    <row r="94" spans="1:14">
      <c r="A94" s="25"/>
      <c r="B94" s="2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</row>
    <row r="95" spans="1:14">
      <c r="A95" s="25"/>
      <c r="B95" s="2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</row>
    <row r="96" spans="1:14">
      <c r="A96" s="25"/>
      <c r="B96" s="2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</row>
    <row r="97" spans="1:14">
      <c r="A97" s="25"/>
      <c r="B97" s="2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</row>
    <row r="98" spans="1:14">
      <c r="A98" s="25"/>
      <c r="B98" s="2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</row>
    <row r="99" spans="1:14">
      <c r="A99" s="25"/>
      <c r="B99" s="2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</row>
    <row r="100" spans="1:14">
      <c r="A100" s="25"/>
      <c r="B100" s="2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</row>
  </sheetData>
  <sheetProtection algorithmName="SHA-512" hashValue="yhkfx5umTapKEDa8MsGxUDyoXC62vdTH5JuiexRhhjMiahms27pUuCCUryI6wJDBndqOl9Tqhxow7mFRoetsnA==" saltValue="OUmJsD0XNQ44qdhqzS0xug==" spinCount="100000" sheet="1" objects="1" scenarios="1"/>
  <mergeCells count="96">
    <mergeCell ref="C20:N20"/>
    <mergeCell ref="K1:N1"/>
    <mergeCell ref="K2:N2"/>
    <mergeCell ref="H3:J3"/>
    <mergeCell ref="K3:N3"/>
    <mergeCell ref="K4:N4"/>
    <mergeCell ref="C11:N11"/>
    <mergeCell ref="C12:N12"/>
    <mergeCell ref="C13:N13"/>
    <mergeCell ref="C14:N14"/>
    <mergeCell ref="C15:N15"/>
    <mergeCell ref="C16:N16"/>
    <mergeCell ref="C17:N17"/>
    <mergeCell ref="C18:N18"/>
    <mergeCell ref="C19:N19"/>
    <mergeCell ref="C10:N10"/>
    <mergeCell ref="C40:N40"/>
    <mergeCell ref="C21:N21"/>
    <mergeCell ref="C34:N34"/>
    <mergeCell ref="C23:N23"/>
    <mergeCell ref="C24:N24"/>
    <mergeCell ref="C25:N25"/>
    <mergeCell ref="C26:N26"/>
    <mergeCell ref="C27:N27"/>
    <mergeCell ref="C28:N28"/>
    <mergeCell ref="C29:N29"/>
    <mergeCell ref="C30:N30"/>
    <mergeCell ref="C22:N22"/>
    <mergeCell ref="C31:N31"/>
    <mergeCell ref="C32:N32"/>
    <mergeCell ref="C33:N33"/>
    <mergeCell ref="C35:N35"/>
    <mergeCell ref="C36:N36"/>
    <mergeCell ref="C37:N37"/>
    <mergeCell ref="C38:N38"/>
    <mergeCell ref="C39:N39"/>
    <mergeCell ref="C56:N56"/>
    <mergeCell ref="C41:N41"/>
    <mergeCell ref="C42:N42"/>
    <mergeCell ref="C43:N43"/>
    <mergeCell ref="C44:N44"/>
    <mergeCell ref="C45:N45"/>
    <mergeCell ref="C47:N47"/>
    <mergeCell ref="C48:N48"/>
    <mergeCell ref="C49:N49"/>
    <mergeCell ref="C50:N50"/>
    <mergeCell ref="C51:N51"/>
    <mergeCell ref="C52:N52"/>
    <mergeCell ref="C53:N53"/>
    <mergeCell ref="C54:N54"/>
    <mergeCell ref="C55:N55"/>
    <mergeCell ref="C46:N46"/>
    <mergeCell ref="C57:N57"/>
    <mergeCell ref="C69:N69"/>
    <mergeCell ref="C70:N70"/>
    <mergeCell ref="C59:N59"/>
    <mergeCell ref="C60:N60"/>
    <mergeCell ref="C61:N61"/>
    <mergeCell ref="C62:N62"/>
    <mergeCell ref="C63:N63"/>
    <mergeCell ref="C64:N64"/>
    <mergeCell ref="C65:N65"/>
    <mergeCell ref="C66:N66"/>
    <mergeCell ref="C76:N76"/>
    <mergeCell ref="C58:N58"/>
    <mergeCell ref="C67:N67"/>
    <mergeCell ref="C99:N99"/>
    <mergeCell ref="C100:N100"/>
    <mergeCell ref="C89:N89"/>
    <mergeCell ref="C90:N90"/>
    <mergeCell ref="C91:N91"/>
    <mergeCell ref="C92:N92"/>
    <mergeCell ref="C93:N93"/>
    <mergeCell ref="C94:N94"/>
    <mergeCell ref="C95:N95"/>
    <mergeCell ref="C96:N96"/>
    <mergeCell ref="C97:N97"/>
    <mergeCell ref="C98:N98"/>
    <mergeCell ref="C68:N68"/>
    <mergeCell ref="C71:N71"/>
    <mergeCell ref="C72:N72"/>
    <mergeCell ref="C73:N73"/>
    <mergeCell ref="C74:N74"/>
    <mergeCell ref="C75:N75"/>
    <mergeCell ref="C88:N88"/>
    <mergeCell ref="C77:N77"/>
    <mergeCell ref="C78:N78"/>
    <mergeCell ref="C79:N79"/>
    <mergeCell ref="C80:N80"/>
    <mergeCell ref="C81:N81"/>
    <mergeCell ref="C83:N83"/>
    <mergeCell ref="C84:N84"/>
    <mergeCell ref="C85:N85"/>
    <mergeCell ref="C86:N86"/>
    <mergeCell ref="C87:N87"/>
    <mergeCell ref="C82:N8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-0.499984740745262"/>
  </sheetPr>
  <dimension ref="A1:AP28"/>
  <sheetViews>
    <sheetView zoomScale="70" zoomScaleNormal="70" workbookViewId="0">
      <pane xSplit="2" ySplit="16" topLeftCell="M49" activePane="bottomRight" state="frozen"/>
      <selection pane="bottomRight" activeCell="M35" sqref="M35"/>
      <selection pane="bottomLeft" activeCell="A17" sqref="A17"/>
      <selection pane="topRight" activeCell="C1" sqref="C1"/>
    </sheetView>
  </sheetViews>
  <sheetFormatPr defaultRowHeight="15.75"/>
  <cols>
    <col min="1" max="2" width="18.7109375" customWidth="1"/>
    <col min="3" max="3" width="15.140625" customWidth="1"/>
    <col min="4" max="4" width="14.7109375" customWidth="1"/>
    <col min="5" max="5" width="12.5703125" customWidth="1"/>
    <col min="6" max="6" width="14.42578125" customWidth="1"/>
    <col min="7" max="7" width="33.7109375" customWidth="1"/>
    <col min="8" max="9" width="11.5703125" customWidth="1"/>
    <col min="10" max="12" width="14.28515625" customWidth="1"/>
    <col min="13" max="13" width="24.85546875" customWidth="1"/>
    <col min="14" max="14" width="13" bestFit="1" customWidth="1"/>
    <col min="15" max="15" width="13" customWidth="1"/>
    <col min="16" max="16" width="64" customWidth="1"/>
    <col min="25" max="25" width="9.140625" customWidth="1"/>
    <col min="26" max="26" width="9.140625" hidden="1" customWidth="1"/>
    <col min="27" max="27" width="12" hidden="1" customWidth="1"/>
    <col min="28" max="28" width="25.140625" hidden="1" customWidth="1"/>
    <col min="29" max="29" width="23.28515625" hidden="1" customWidth="1"/>
    <col min="30" max="30" width="22.7109375" hidden="1" customWidth="1"/>
    <col min="31" max="31" width="15.140625" style="26" hidden="1" customWidth="1"/>
    <col min="32" max="32" width="16.5703125" style="26" customWidth="1"/>
    <col min="33" max="33" width="22.28515625" style="26" customWidth="1"/>
  </cols>
  <sheetData>
    <row r="1" spans="1:42">
      <c r="E1" s="4"/>
      <c r="F1" s="4"/>
      <c r="G1" s="32" t="s">
        <v>23</v>
      </c>
      <c r="H1" s="129" t="str">
        <f>IF(ISBLANK('Test Diary'!K1),"",'Test Diary'!K1)</f>
        <v>SQ2024-1450</v>
      </c>
      <c r="I1" s="129"/>
      <c r="J1" s="129"/>
      <c r="K1" s="41"/>
      <c r="L1" s="41"/>
      <c r="M1" s="41"/>
      <c r="P1" s="3"/>
      <c r="R1" s="28"/>
      <c r="U1" s="3"/>
      <c r="V1" s="3"/>
      <c r="W1" s="4"/>
      <c r="AC1" s="28"/>
      <c r="AL1" s="31"/>
      <c r="AM1" s="31"/>
      <c r="AN1" s="23"/>
      <c r="AO1" s="23"/>
      <c r="AP1" s="23"/>
    </row>
    <row r="2" spans="1:42">
      <c r="E2" s="4"/>
      <c r="F2" s="4"/>
      <c r="G2" s="32" t="s">
        <v>25</v>
      </c>
      <c r="H2" s="129" t="str">
        <f>IF(ISBLANK('Test Diary'!K2),"",'Test Diary'!K2)</f>
        <v>n/a</v>
      </c>
      <c r="I2" s="129"/>
      <c r="J2" s="129"/>
      <c r="K2" s="41"/>
      <c r="L2" s="41"/>
      <c r="M2" s="41"/>
      <c r="O2" s="9">
        <f>COUNTA('Test Summary'!M17:M28)</f>
        <v>12</v>
      </c>
      <c r="P2" s="10" t="s">
        <v>35</v>
      </c>
      <c r="R2" s="28"/>
      <c r="U2" s="3"/>
      <c r="V2" s="3"/>
      <c r="W2" s="4"/>
      <c r="AC2" s="28"/>
      <c r="AL2" s="31"/>
      <c r="AM2" s="31"/>
      <c r="AN2" s="23"/>
      <c r="AO2" s="23"/>
      <c r="AP2" s="23"/>
    </row>
    <row r="3" spans="1:42">
      <c r="E3" s="4"/>
      <c r="F3" s="42"/>
      <c r="G3" s="32" t="s">
        <v>27</v>
      </c>
      <c r="H3" s="129" t="str">
        <f>IF(ISBLANK('Test Diary'!K3),"",'Test Diary'!K3)</f>
        <v>N Barnard</v>
      </c>
      <c r="I3" s="129"/>
      <c r="J3" s="129"/>
      <c r="K3" s="41"/>
      <c r="L3" s="41"/>
      <c r="M3" s="41"/>
      <c r="O3" s="9">
        <f>COUNTIF('Test Summary'!$M$17:$M$28,AD21)</f>
        <v>8</v>
      </c>
      <c r="P3" s="11" t="s">
        <v>36</v>
      </c>
      <c r="R3" s="28"/>
      <c r="U3" s="3"/>
      <c r="V3" s="3"/>
      <c r="W3" s="4"/>
      <c r="AC3" s="28"/>
      <c r="AN3" s="23"/>
      <c r="AO3" s="23"/>
      <c r="AP3" s="23"/>
    </row>
    <row r="4" spans="1:42">
      <c r="E4" s="4"/>
      <c r="F4" s="4"/>
      <c r="G4" s="32" t="s">
        <v>29</v>
      </c>
      <c r="H4" s="129" t="str">
        <f>IF(ISBLANK('Test Diary'!K4),"",'Test Diary'!K4)</f>
        <v>A Jones</v>
      </c>
      <c r="I4" s="129"/>
      <c r="J4" s="129"/>
      <c r="K4" s="41"/>
      <c r="L4" s="41"/>
      <c r="M4" s="41"/>
      <c r="O4" s="9">
        <f>COUNTIF('Test Summary'!$M$17:$M$28,AD20)</f>
        <v>0</v>
      </c>
      <c r="P4" s="12" t="s">
        <v>37</v>
      </c>
      <c r="R4" s="28"/>
      <c r="U4" s="3"/>
      <c r="V4" s="3"/>
      <c r="W4" s="4"/>
      <c r="AC4" s="28"/>
      <c r="AN4" s="23"/>
      <c r="AO4" s="23"/>
      <c r="AP4" s="23"/>
    </row>
    <row r="5" spans="1:42">
      <c r="A5" s="1" t="s">
        <v>0</v>
      </c>
      <c r="E5" s="4"/>
      <c r="F5" s="4"/>
      <c r="G5" s="4"/>
      <c r="H5" s="4"/>
      <c r="I5" s="4"/>
      <c r="J5" s="4"/>
      <c r="K5" s="4"/>
      <c r="L5" s="4"/>
      <c r="M5" s="4"/>
      <c r="O5" s="9">
        <f>COUNTIF('Test Summary'!$M$17:$M$28,AD19)</f>
        <v>4</v>
      </c>
      <c r="P5" s="13" t="s">
        <v>38</v>
      </c>
      <c r="R5" s="28"/>
      <c r="U5" s="3"/>
      <c r="V5" s="3"/>
      <c r="W5" s="4"/>
      <c r="AC5" s="28"/>
      <c r="AN5" s="23"/>
      <c r="AO5" s="23"/>
      <c r="AP5" s="23"/>
    </row>
    <row r="6" spans="1:42">
      <c r="A6" s="1"/>
      <c r="E6" s="4"/>
      <c r="F6" s="4"/>
      <c r="G6" s="4"/>
      <c r="H6" s="4"/>
      <c r="I6" s="4"/>
      <c r="J6" s="4"/>
      <c r="K6" s="4"/>
      <c r="L6" s="4"/>
      <c r="M6" s="4"/>
      <c r="O6" s="9">
        <f>COUNTIF('Test Summary'!$M$17:$M$28,AD18)</f>
        <v>0</v>
      </c>
      <c r="P6" s="14" t="s">
        <v>39</v>
      </c>
      <c r="R6" s="28"/>
      <c r="U6" s="3"/>
      <c r="V6" s="3"/>
      <c r="W6" s="4"/>
      <c r="AC6" s="28"/>
      <c r="AN6" s="23"/>
      <c r="AO6" s="23"/>
      <c r="AP6" s="23"/>
    </row>
    <row r="7" spans="1:42" ht="18.75">
      <c r="A7" s="2" t="s">
        <v>2</v>
      </c>
      <c r="E7" s="4"/>
      <c r="F7" s="4"/>
      <c r="G7" s="4"/>
      <c r="H7" s="4"/>
      <c r="I7" s="4"/>
      <c r="J7" s="4"/>
      <c r="K7" s="4"/>
      <c r="L7" s="4"/>
      <c r="M7" s="4"/>
      <c r="O7" s="9">
        <f>COUNTIF('Test Summary'!$M$17:$M$28,AD17)</f>
        <v>0</v>
      </c>
      <c r="P7" s="15" t="s">
        <v>40</v>
      </c>
      <c r="R7" s="28"/>
      <c r="U7" s="3"/>
      <c r="V7" s="3"/>
      <c r="W7" s="4"/>
      <c r="AC7" s="28"/>
      <c r="AN7" s="23"/>
      <c r="AO7" s="23"/>
      <c r="AP7" s="23"/>
    </row>
    <row r="8" spans="1:42" ht="18.75">
      <c r="A8" s="2" t="s">
        <v>4</v>
      </c>
      <c r="E8" s="4"/>
      <c r="F8" s="4"/>
      <c r="G8" s="4"/>
      <c r="H8" s="4"/>
      <c r="I8" s="4"/>
      <c r="J8" s="4"/>
      <c r="K8" s="4"/>
      <c r="L8" s="4"/>
      <c r="M8" s="4"/>
      <c r="O8" s="9">
        <f>COUNTIF('Test Summary'!$M$17:$M$28,AD23)</f>
        <v>0</v>
      </c>
      <c r="P8" s="16" t="s">
        <v>41</v>
      </c>
      <c r="R8" s="28"/>
      <c r="U8" s="3"/>
      <c r="V8" s="3"/>
      <c r="W8" s="4"/>
      <c r="AC8" s="28"/>
      <c r="AN8" s="23"/>
      <c r="AO8" s="23"/>
      <c r="AP8" s="23"/>
    </row>
    <row r="9" spans="1:42" ht="18.75">
      <c r="A9" s="2"/>
      <c r="E9" s="4"/>
      <c r="F9" s="4"/>
      <c r="G9" s="4"/>
      <c r="H9" s="4"/>
      <c r="I9" s="4"/>
      <c r="J9" s="4"/>
      <c r="K9" s="4"/>
      <c r="L9" s="4"/>
      <c r="M9" s="4"/>
      <c r="O9" s="9">
        <f>COUNTIF('Test Summary'!$M$17:$M$28,AD25)</f>
        <v>0</v>
      </c>
      <c r="P9" s="17" t="s">
        <v>42</v>
      </c>
      <c r="R9" s="28"/>
      <c r="U9" s="3"/>
      <c r="V9" s="3"/>
      <c r="W9" s="4"/>
      <c r="AC9" s="28"/>
      <c r="AN9" s="23"/>
      <c r="AO9" s="23"/>
      <c r="AP9" s="23"/>
    </row>
    <row r="10" spans="1:42" ht="18.75">
      <c r="A10" s="2"/>
      <c r="E10" s="4"/>
      <c r="F10" s="4"/>
      <c r="G10" s="4"/>
      <c r="H10" s="4"/>
      <c r="I10" s="4"/>
      <c r="J10" s="4"/>
      <c r="K10" s="4"/>
      <c r="L10" s="4"/>
      <c r="M10" s="4"/>
      <c r="O10" s="9">
        <f>COUNTIF('Test Summary'!$M$17:$M$28,AD24)</f>
        <v>0</v>
      </c>
      <c r="P10" s="18" t="s">
        <v>43</v>
      </c>
      <c r="R10" s="28"/>
      <c r="U10" s="3"/>
      <c r="V10" s="3"/>
      <c r="W10" s="4"/>
      <c r="AC10" s="28"/>
      <c r="AN10" s="23"/>
      <c r="AO10" s="23"/>
      <c r="AP10" s="23"/>
    </row>
    <row r="11" spans="1:42">
      <c r="O11" s="9">
        <f>COUNTIF('Test Summary'!$M$17:$M$28,AD22)</f>
        <v>0</v>
      </c>
      <c r="P11" s="19" t="s">
        <v>44</v>
      </c>
    </row>
    <row r="12" spans="1:42" ht="15.75" customHeight="1">
      <c r="A12" s="128" t="s">
        <v>45</v>
      </c>
      <c r="B12" s="128"/>
      <c r="C12" s="128"/>
      <c r="D12" s="122" t="s">
        <v>46</v>
      </c>
      <c r="E12" s="123"/>
      <c r="F12" s="123"/>
      <c r="G12" s="123"/>
      <c r="H12" s="123"/>
      <c r="I12" s="123"/>
      <c r="J12" s="124"/>
      <c r="K12" s="70"/>
      <c r="L12" s="70"/>
      <c r="M12" s="121" t="s">
        <v>47</v>
      </c>
      <c r="N12" s="121"/>
      <c r="O12" s="121"/>
      <c r="P12" s="121"/>
    </row>
    <row r="13" spans="1:42">
      <c r="A13" s="128"/>
      <c r="B13" s="128"/>
      <c r="C13" s="128"/>
      <c r="D13" s="125"/>
      <c r="E13" s="126"/>
      <c r="F13" s="126"/>
      <c r="G13" s="126"/>
      <c r="H13" s="126"/>
      <c r="I13" s="126"/>
      <c r="J13" s="127"/>
      <c r="K13" s="71"/>
      <c r="L13" s="71"/>
      <c r="M13" s="121"/>
      <c r="N13" s="121"/>
      <c r="O13" s="121"/>
      <c r="P13" s="121"/>
    </row>
    <row r="14" spans="1:42">
      <c r="A14" s="33" t="s">
        <v>48</v>
      </c>
      <c r="B14" s="33" t="s">
        <v>49</v>
      </c>
      <c r="C14" s="33" t="s">
        <v>50</v>
      </c>
      <c r="D14" s="34" t="s">
        <v>51</v>
      </c>
      <c r="E14" s="34" t="s">
        <v>51</v>
      </c>
      <c r="F14" s="35" t="s">
        <v>52</v>
      </c>
      <c r="G14" s="35" t="s">
        <v>53</v>
      </c>
      <c r="H14" s="44" t="s">
        <v>54</v>
      </c>
      <c r="I14" s="44" t="s">
        <v>55</v>
      </c>
      <c r="J14" s="44" t="s">
        <v>56</v>
      </c>
      <c r="K14" s="44" t="s">
        <v>57</v>
      </c>
      <c r="L14" s="44" t="s">
        <v>58</v>
      </c>
      <c r="M14" s="45"/>
      <c r="N14" s="45" t="s">
        <v>59</v>
      </c>
      <c r="O14" s="46" t="s">
        <v>35</v>
      </c>
      <c r="P14" s="46"/>
      <c r="Z14" s="26"/>
      <c r="AA14" s="26"/>
      <c r="AB14" s="26"/>
      <c r="AE14"/>
      <c r="AF14"/>
      <c r="AG14"/>
    </row>
    <row r="15" spans="1:42">
      <c r="A15" s="33" t="s">
        <v>60</v>
      </c>
      <c r="B15" s="33" t="s">
        <v>61</v>
      </c>
      <c r="C15" s="33" t="s">
        <v>31</v>
      </c>
      <c r="D15" s="34" t="s">
        <v>62</v>
      </c>
      <c r="E15" s="34" t="s">
        <v>63</v>
      </c>
      <c r="F15" s="35" t="s">
        <v>64</v>
      </c>
      <c r="G15" s="35" t="s">
        <v>65</v>
      </c>
      <c r="H15" s="34" t="s">
        <v>55</v>
      </c>
      <c r="I15" s="34" t="s">
        <v>66</v>
      </c>
      <c r="J15" s="34" t="s">
        <v>67</v>
      </c>
      <c r="K15" s="34" t="s">
        <v>68</v>
      </c>
      <c r="L15" s="34" t="s">
        <v>69</v>
      </c>
      <c r="M15" s="47" t="s">
        <v>70</v>
      </c>
      <c r="N15" s="47" t="s">
        <v>31</v>
      </c>
      <c r="O15" s="47" t="s">
        <v>71</v>
      </c>
      <c r="P15" s="47" t="s">
        <v>72</v>
      </c>
      <c r="Z15" s="26"/>
      <c r="AA15" s="26"/>
      <c r="AB15" s="26"/>
      <c r="AE15"/>
      <c r="AF15"/>
      <c r="AG15"/>
    </row>
    <row r="16" spans="1:42">
      <c r="A16" s="36"/>
      <c r="B16" s="36"/>
      <c r="C16" s="36"/>
      <c r="D16" s="37"/>
      <c r="E16" s="37"/>
      <c r="F16" s="37" t="s">
        <v>73</v>
      </c>
      <c r="G16" s="43"/>
      <c r="H16" s="37" t="s">
        <v>74</v>
      </c>
      <c r="I16" s="37" t="s">
        <v>75</v>
      </c>
      <c r="J16" s="37"/>
      <c r="K16" s="37"/>
      <c r="L16" s="37"/>
      <c r="M16" s="48"/>
      <c r="N16" s="48"/>
      <c r="O16" s="48"/>
      <c r="P16" s="48"/>
      <c r="Z16" s="1" t="s">
        <v>76</v>
      </c>
      <c r="AA16" s="1" t="s">
        <v>77</v>
      </c>
      <c r="AB16" s="1" t="s">
        <v>65</v>
      </c>
      <c r="AC16" s="1" t="s">
        <v>78</v>
      </c>
      <c r="AD16" s="1" t="s">
        <v>70</v>
      </c>
      <c r="AE16" s="1" t="s">
        <v>68</v>
      </c>
      <c r="AF16"/>
      <c r="AG16"/>
    </row>
    <row r="17" spans="1:33">
      <c r="A17" s="38" t="s">
        <v>79</v>
      </c>
      <c r="B17" s="38" t="s">
        <v>80</v>
      </c>
      <c r="C17" s="39">
        <v>45495</v>
      </c>
      <c r="D17" s="40" t="s">
        <v>81</v>
      </c>
      <c r="E17" s="40" t="s">
        <v>82</v>
      </c>
      <c r="F17" s="40">
        <v>300</v>
      </c>
      <c r="G17" s="40" t="s">
        <v>83</v>
      </c>
      <c r="H17" s="40">
        <v>0.15</v>
      </c>
      <c r="I17" s="40">
        <v>0.1</v>
      </c>
      <c r="J17" s="40">
        <v>-1</v>
      </c>
      <c r="K17" s="40" t="s">
        <v>84</v>
      </c>
      <c r="L17" s="40" t="s">
        <v>85</v>
      </c>
      <c r="M17" s="8" t="s">
        <v>36</v>
      </c>
      <c r="N17" s="58"/>
      <c r="O17" s="53">
        <f>IF(ISBLANK('Data entry'!AQ13)," ",'Data entry'!AQ13)</f>
        <v>23096</v>
      </c>
      <c r="P17" s="53" t="str">
        <f>IF(ISBLANK('Data entry'!AS13)," ",'Data entry'!AS13)</f>
        <v>Stop at 23,096 cycles then tensile test @ 20°C. Total Length 76.735mm. Coax outside limit.</v>
      </c>
      <c r="Z17" t="s">
        <v>82</v>
      </c>
      <c r="AA17" t="s">
        <v>86</v>
      </c>
      <c r="AB17" t="s">
        <v>87</v>
      </c>
      <c r="AC17" t="s">
        <v>88</v>
      </c>
      <c r="AD17" t="s">
        <v>40</v>
      </c>
      <c r="AE17" t="s">
        <v>89</v>
      </c>
      <c r="AF17"/>
      <c r="AG17"/>
    </row>
    <row r="18" spans="1:33">
      <c r="A18" s="38" t="s">
        <v>90</v>
      </c>
      <c r="B18" s="38" t="s">
        <v>91</v>
      </c>
      <c r="C18" s="39">
        <v>45495</v>
      </c>
      <c r="D18" s="40" t="s">
        <v>81</v>
      </c>
      <c r="E18" s="40" t="s">
        <v>82</v>
      </c>
      <c r="F18" s="40">
        <v>300</v>
      </c>
      <c r="G18" s="40" t="s">
        <v>83</v>
      </c>
      <c r="H18" s="40">
        <v>0.15</v>
      </c>
      <c r="I18" s="40">
        <v>0.1</v>
      </c>
      <c r="J18" s="40">
        <v>-1</v>
      </c>
      <c r="K18" s="40" t="s">
        <v>84</v>
      </c>
      <c r="L18" s="40" t="s">
        <v>85</v>
      </c>
      <c r="M18" s="8" t="s">
        <v>36</v>
      </c>
      <c r="N18" s="58"/>
      <c r="O18" s="53">
        <f>IF(ISBLANK('Data entry'!AQ14)," ",'Data entry'!AQ14)</f>
        <v>23096</v>
      </c>
      <c r="P18" s="53" t="str">
        <f>IF(ISBLANK('Data entry'!AS14)," ",'Data entry'!AS14)</f>
        <v>Stop at 23,096 cycles then tensile test @ 300°C. Total Length 77.090mm</v>
      </c>
      <c r="AA18" t="s">
        <v>92</v>
      </c>
      <c r="AB18" t="s">
        <v>93</v>
      </c>
      <c r="AC18" t="s">
        <v>94</v>
      </c>
      <c r="AD18" t="s">
        <v>95</v>
      </c>
      <c r="AE18" t="s">
        <v>96</v>
      </c>
      <c r="AF18"/>
      <c r="AG18"/>
    </row>
    <row r="19" spans="1:33">
      <c r="A19" s="38" t="s">
        <v>97</v>
      </c>
      <c r="B19" s="38" t="s">
        <v>98</v>
      </c>
      <c r="C19" s="39">
        <v>45495</v>
      </c>
      <c r="D19" s="40" t="s">
        <v>81</v>
      </c>
      <c r="E19" s="40" t="s">
        <v>82</v>
      </c>
      <c r="F19" s="40">
        <v>300</v>
      </c>
      <c r="G19" s="40" t="s">
        <v>83</v>
      </c>
      <c r="H19" s="40">
        <v>0.15</v>
      </c>
      <c r="I19" s="40">
        <v>0.1</v>
      </c>
      <c r="J19" s="40">
        <v>-1</v>
      </c>
      <c r="K19" s="40" t="s">
        <v>84</v>
      </c>
      <c r="L19" s="40" t="s">
        <v>85</v>
      </c>
      <c r="M19" s="8" t="s">
        <v>38</v>
      </c>
      <c r="N19" s="58"/>
      <c r="O19" s="53" t="str">
        <f>IF(ISBLANK('Data entry'!AQ15)," ",'Data entry'!AQ15)</f>
        <v xml:space="preserve"> </v>
      </c>
      <c r="P19" s="53" t="str">
        <f>IF(ISBLANK('Data entry'!AS15)," ",'Data entry'!AS15)</f>
        <v>Stop at 23,096 cycles then tensile test @ 550°C</v>
      </c>
      <c r="AA19" t="s">
        <v>99</v>
      </c>
      <c r="AB19" t="s">
        <v>100</v>
      </c>
      <c r="AC19" t="s">
        <v>101</v>
      </c>
      <c r="AD19" t="s">
        <v>38</v>
      </c>
      <c r="AE19" t="s">
        <v>84</v>
      </c>
      <c r="AF19"/>
      <c r="AG19"/>
    </row>
    <row r="20" spans="1:33">
      <c r="A20" s="38" t="s">
        <v>102</v>
      </c>
      <c r="B20" s="38" t="s">
        <v>103</v>
      </c>
      <c r="C20" s="39">
        <v>45495</v>
      </c>
      <c r="D20" s="40" t="s">
        <v>81</v>
      </c>
      <c r="E20" s="40" t="s">
        <v>82</v>
      </c>
      <c r="F20" s="40">
        <v>300</v>
      </c>
      <c r="G20" s="40" t="s">
        <v>83</v>
      </c>
      <c r="H20" s="40">
        <v>0.2</v>
      </c>
      <c r="I20" s="40">
        <v>0.1</v>
      </c>
      <c r="J20" s="40">
        <v>-1</v>
      </c>
      <c r="K20" s="40" t="s">
        <v>84</v>
      </c>
      <c r="L20" s="40" t="s">
        <v>85</v>
      </c>
      <c r="M20" s="8" t="s">
        <v>36</v>
      </c>
      <c r="N20" s="58"/>
      <c r="O20" s="53">
        <f>IF(ISBLANK('Data entry'!AQ16)," ",'Data entry'!AQ16)</f>
        <v>6075</v>
      </c>
      <c r="P20" s="53" t="str">
        <f>IF(ISBLANK('Data entry'!AS16)," ",'Data entry'!AS16)</f>
        <v>Stop at 6,075 cycles then tensile test @ 20°C. Total Length 77.0.51mm</v>
      </c>
      <c r="AA20" t="s">
        <v>104</v>
      </c>
      <c r="AB20" t="s">
        <v>83</v>
      </c>
      <c r="AC20" t="s">
        <v>105</v>
      </c>
      <c r="AD20" t="s">
        <v>37</v>
      </c>
      <c r="AE20" t="s">
        <v>106</v>
      </c>
      <c r="AF20"/>
      <c r="AG20"/>
    </row>
    <row r="21" spans="1:33">
      <c r="A21" s="38" t="s">
        <v>107</v>
      </c>
      <c r="B21" s="38" t="s">
        <v>108</v>
      </c>
      <c r="C21" s="39">
        <v>45495</v>
      </c>
      <c r="D21" s="40" t="s">
        <v>81</v>
      </c>
      <c r="E21" s="40" t="s">
        <v>82</v>
      </c>
      <c r="F21" s="40">
        <v>300</v>
      </c>
      <c r="G21" s="40" t="s">
        <v>83</v>
      </c>
      <c r="H21" s="40">
        <v>0.2</v>
      </c>
      <c r="I21" s="40">
        <v>0.1</v>
      </c>
      <c r="J21" s="40">
        <v>-1</v>
      </c>
      <c r="K21" s="40" t="s">
        <v>84</v>
      </c>
      <c r="L21" s="40" t="s">
        <v>85</v>
      </c>
      <c r="M21" s="8" t="s">
        <v>36</v>
      </c>
      <c r="N21" s="58"/>
      <c r="O21" s="53">
        <f>IF(ISBLANK('Data entry'!AQ17)," ",'Data entry'!AQ17)</f>
        <v>6075</v>
      </c>
      <c r="P21" s="53" t="str">
        <f>IF(ISBLANK('Data entry'!AS17)," ",'Data entry'!AS17)</f>
        <v>Stop at 6,075 cycles then tensile test @ 300°C. Total Length 77.021mm</v>
      </c>
      <c r="AA21" t="s">
        <v>109</v>
      </c>
      <c r="AC21" t="s">
        <v>110</v>
      </c>
      <c r="AD21" t="s">
        <v>36</v>
      </c>
      <c r="AE21" t="s">
        <v>111</v>
      </c>
      <c r="AF21"/>
      <c r="AG21"/>
    </row>
    <row r="22" spans="1:33">
      <c r="A22" s="38" t="s">
        <v>112</v>
      </c>
      <c r="B22" s="38" t="s">
        <v>113</v>
      </c>
      <c r="C22" s="39">
        <v>45495</v>
      </c>
      <c r="D22" s="40" t="s">
        <v>81</v>
      </c>
      <c r="E22" s="40" t="s">
        <v>82</v>
      </c>
      <c r="F22" s="40">
        <v>300</v>
      </c>
      <c r="G22" s="40" t="s">
        <v>83</v>
      </c>
      <c r="H22" s="40">
        <v>0.2</v>
      </c>
      <c r="I22" s="40">
        <v>0.1</v>
      </c>
      <c r="J22" s="40">
        <v>-1</v>
      </c>
      <c r="K22" s="40" t="s">
        <v>84</v>
      </c>
      <c r="L22" s="40" t="s">
        <v>85</v>
      </c>
      <c r="M22" s="8" t="s">
        <v>38</v>
      </c>
      <c r="N22" s="58"/>
      <c r="O22" s="53" t="str">
        <f>IF(ISBLANK('Data entry'!AQ18)," ",'Data entry'!AQ18)</f>
        <v xml:space="preserve"> </v>
      </c>
      <c r="P22" s="53" t="str">
        <f>IF(ISBLANK('Data entry'!AS18)," ",'Data entry'!AS18)</f>
        <v>Stop at 6,075 cycles then tensile test @ 550°C</v>
      </c>
      <c r="AA22" t="s">
        <v>114</v>
      </c>
      <c r="AC22" t="s">
        <v>115</v>
      </c>
      <c r="AD22" t="s">
        <v>44</v>
      </c>
      <c r="AE22"/>
      <c r="AF22"/>
      <c r="AG22"/>
    </row>
    <row r="23" spans="1:33">
      <c r="A23" s="38" t="s">
        <v>116</v>
      </c>
      <c r="B23" s="38" t="s">
        <v>117</v>
      </c>
      <c r="C23" s="39">
        <v>45495</v>
      </c>
      <c r="D23" s="40" t="s">
        <v>81</v>
      </c>
      <c r="E23" s="40" t="s">
        <v>82</v>
      </c>
      <c r="F23" s="40">
        <v>300</v>
      </c>
      <c r="G23" s="40" t="s">
        <v>83</v>
      </c>
      <c r="H23" s="40">
        <v>0.25</v>
      </c>
      <c r="I23" s="40">
        <v>0.1</v>
      </c>
      <c r="J23" s="40">
        <v>-1</v>
      </c>
      <c r="K23" s="40" t="s">
        <v>84</v>
      </c>
      <c r="L23" s="40" t="s">
        <v>85</v>
      </c>
      <c r="M23" s="8" t="s">
        <v>36</v>
      </c>
      <c r="N23" s="58"/>
      <c r="O23" s="53">
        <f>IF(ISBLANK('Data entry'!AQ19)," ",'Data entry'!AQ19)</f>
        <v>2242</v>
      </c>
      <c r="P23" s="53" t="str">
        <f>IF(ISBLANK('Data entry'!AS19)," ",'Data entry'!AS19)</f>
        <v>Stop at 2,242 cycles then tensile test @ 20°C. Total Length 77.010mm</v>
      </c>
      <c r="AA23" t="s">
        <v>118</v>
      </c>
      <c r="AC23" t="s">
        <v>119</v>
      </c>
      <c r="AD23" t="s">
        <v>41</v>
      </c>
      <c r="AE23"/>
      <c r="AF23"/>
      <c r="AG23"/>
    </row>
    <row r="24" spans="1:33">
      <c r="A24" s="38" t="s">
        <v>120</v>
      </c>
      <c r="B24" s="38" t="s">
        <v>121</v>
      </c>
      <c r="C24" s="39">
        <v>45495</v>
      </c>
      <c r="D24" s="40" t="s">
        <v>81</v>
      </c>
      <c r="E24" s="40" t="s">
        <v>82</v>
      </c>
      <c r="F24" s="40">
        <v>300</v>
      </c>
      <c r="G24" s="40" t="s">
        <v>83</v>
      </c>
      <c r="H24" s="40">
        <v>0.25</v>
      </c>
      <c r="I24" s="40">
        <v>0.1</v>
      </c>
      <c r="J24" s="40">
        <v>-1</v>
      </c>
      <c r="K24" s="40" t="s">
        <v>84</v>
      </c>
      <c r="L24" s="40" t="s">
        <v>85</v>
      </c>
      <c r="M24" s="8" t="s">
        <v>36</v>
      </c>
      <c r="N24" s="58"/>
      <c r="O24" s="53">
        <f>IF(ISBLANK('Data entry'!AQ20)," ",'Data entry'!AQ20)</f>
        <v>2242</v>
      </c>
      <c r="P24" s="53" t="str">
        <f>IF(ISBLANK('Data entry'!AS20)," ",'Data entry'!AS20)</f>
        <v>Stop at 2,242 cycles then tensile test @ 300°C. Total Length 77.044mm</v>
      </c>
      <c r="AA24" t="s">
        <v>122</v>
      </c>
      <c r="AC24" t="s">
        <v>123</v>
      </c>
      <c r="AD24" t="s">
        <v>43</v>
      </c>
      <c r="AE24"/>
      <c r="AF24"/>
      <c r="AG24"/>
    </row>
    <row r="25" spans="1:33">
      <c r="A25" s="38" t="s">
        <v>124</v>
      </c>
      <c r="B25" s="38" t="s">
        <v>125</v>
      </c>
      <c r="C25" s="39">
        <v>45495</v>
      </c>
      <c r="D25" s="40" t="s">
        <v>81</v>
      </c>
      <c r="E25" s="40" t="s">
        <v>82</v>
      </c>
      <c r="F25" s="40">
        <v>300</v>
      </c>
      <c r="G25" s="40" t="s">
        <v>83</v>
      </c>
      <c r="H25" s="40">
        <v>0.25</v>
      </c>
      <c r="I25" s="40">
        <v>0.1</v>
      </c>
      <c r="J25" s="40">
        <v>-1</v>
      </c>
      <c r="K25" s="40" t="s">
        <v>84</v>
      </c>
      <c r="L25" s="40" t="s">
        <v>85</v>
      </c>
      <c r="M25" s="8" t="s">
        <v>38</v>
      </c>
      <c r="N25" s="58"/>
      <c r="O25" s="53" t="str">
        <f>IF(ISBLANK('Data entry'!AQ21)," ",'Data entry'!AQ21)</f>
        <v xml:space="preserve"> </v>
      </c>
      <c r="P25" s="53" t="str">
        <f>IF(ISBLANK('Data entry'!AS21)," ",'Data entry'!AS21)</f>
        <v>Stop at 2,242 cycles then tensile test @ 550°C</v>
      </c>
      <c r="AA25" t="s">
        <v>126</v>
      </c>
      <c r="AC25" t="s">
        <v>127</v>
      </c>
      <c r="AD25" t="s">
        <v>128</v>
      </c>
      <c r="AE25"/>
      <c r="AF25"/>
      <c r="AG25"/>
    </row>
    <row r="26" spans="1:33">
      <c r="A26" s="38" t="s">
        <v>129</v>
      </c>
      <c r="B26" s="38" t="s">
        <v>130</v>
      </c>
      <c r="C26" s="39">
        <v>45495</v>
      </c>
      <c r="D26" s="40" t="s">
        <v>81</v>
      </c>
      <c r="E26" s="40" t="s">
        <v>82</v>
      </c>
      <c r="F26" s="40">
        <v>300</v>
      </c>
      <c r="G26" s="40" t="s">
        <v>83</v>
      </c>
      <c r="H26" s="40">
        <v>0.3</v>
      </c>
      <c r="I26" s="40">
        <v>0.1</v>
      </c>
      <c r="J26" s="40">
        <v>-1</v>
      </c>
      <c r="K26" s="40" t="s">
        <v>84</v>
      </c>
      <c r="L26" s="40" t="s">
        <v>85</v>
      </c>
      <c r="M26" s="8" t="s">
        <v>36</v>
      </c>
      <c r="N26" s="58"/>
      <c r="O26" s="53">
        <f>IF(ISBLANK('Data entry'!AQ22)," ",'Data entry'!AQ22)</f>
        <v>1014</v>
      </c>
      <c r="P26" s="53" t="str">
        <f>IF(ISBLANK('Data entry'!AS22)," ",'Data entry'!AS22)</f>
        <v>Stop at 1,014 cycles then tensile test @ 20°C. Total Length 76.983mm</v>
      </c>
      <c r="AA26" t="s">
        <v>131</v>
      </c>
      <c r="AE26"/>
      <c r="AF26"/>
      <c r="AG26"/>
    </row>
    <row r="27" spans="1:33">
      <c r="A27" s="38" t="s">
        <v>132</v>
      </c>
      <c r="B27" s="38" t="s">
        <v>133</v>
      </c>
      <c r="C27" s="39">
        <v>45495</v>
      </c>
      <c r="D27" s="40" t="s">
        <v>81</v>
      </c>
      <c r="E27" s="40" t="s">
        <v>82</v>
      </c>
      <c r="F27" s="40">
        <v>300</v>
      </c>
      <c r="G27" s="40" t="s">
        <v>83</v>
      </c>
      <c r="H27" s="40">
        <v>0.3</v>
      </c>
      <c r="I27" s="40">
        <v>0.1</v>
      </c>
      <c r="J27" s="40">
        <v>-1</v>
      </c>
      <c r="K27" s="40" t="s">
        <v>84</v>
      </c>
      <c r="L27" s="40" t="s">
        <v>85</v>
      </c>
      <c r="M27" s="8" t="s">
        <v>36</v>
      </c>
      <c r="N27" s="58"/>
      <c r="O27" s="53">
        <f>IF(ISBLANK('Data entry'!AQ23)," ",'Data entry'!AQ23)</f>
        <v>1014</v>
      </c>
      <c r="P27" s="53" t="str">
        <f>IF(ISBLANK('Data entry'!AS23)," ",'Data entry'!AS23)</f>
        <v>Stop at 1,014 cycles then tensile test @ 300°C. Total Length 77.024mm</v>
      </c>
      <c r="AA27" t="s">
        <v>134</v>
      </c>
      <c r="AE27"/>
      <c r="AF27"/>
      <c r="AG27"/>
    </row>
    <row r="28" spans="1:33">
      <c r="A28" s="38" t="s">
        <v>135</v>
      </c>
      <c r="B28" s="38" t="s">
        <v>136</v>
      </c>
      <c r="C28" s="39">
        <v>45495</v>
      </c>
      <c r="D28" s="40" t="s">
        <v>81</v>
      </c>
      <c r="E28" s="40" t="s">
        <v>82</v>
      </c>
      <c r="F28" s="40">
        <v>300</v>
      </c>
      <c r="G28" s="40" t="s">
        <v>83</v>
      </c>
      <c r="H28" s="40">
        <v>0.3</v>
      </c>
      <c r="I28" s="40">
        <v>0.1</v>
      </c>
      <c r="J28" s="40">
        <v>-1</v>
      </c>
      <c r="K28" s="40" t="s">
        <v>84</v>
      </c>
      <c r="L28" s="40" t="s">
        <v>85</v>
      </c>
      <c r="M28" s="8" t="s">
        <v>38</v>
      </c>
      <c r="N28" s="58"/>
      <c r="O28" s="53" t="str">
        <f>IF(ISBLANK('Data entry'!AQ24)," ",'Data entry'!AQ24)</f>
        <v xml:space="preserve"> </v>
      </c>
      <c r="P28" s="53" t="str">
        <f>IF(ISBLANK('Data entry'!AS24)," ",'Data entry'!AS24)</f>
        <v>Stop at 1,014 cycles then tensile test @ 550°C</v>
      </c>
      <c r="AA28" t="s">
        <v>137</v>
      </c>
      <c r="AE28"/>
      <c r="AF28"/>
      <c r="AG28"/>
    </row>
  </sheetData>
  <mergeCells count="7">
    <mergeCell ref="M12:P13"/>
    <mergeCell ref="D12:J13"/>
    <mergeCell ref="A12:C13"/>
    <mergeCell ref="H1:J1"/>
    <mergeCell ref="H2:J2"/>
    <mergeCell ref="H3:J3"/>
    <mergeCell ref="H4:J4"/>
  </mergeCells>
  <conditionalFormatting sqref="M17:M28">
    <cfRule type="containsText" dxfId="9" priority="82" operator="containsText" text="Returned to Customer">
      <formula>NOT(ISERROR(SEARCH("Returned to Customer",M17)))</formula>
    </cfRule>
    <cfRule type="containsText" dxfId="8" priority="84" stopIfTrue="1" operator="containsText" text="Spare">
      <formula>NOT(ISERROR(SEARCH("Spare",M17)))</formula>
    </cfRule>
    <cfRule type="containsText" dxfId="7" priority="85" stopIfTrue="1" operator="containsText" text="Void">
      <formula>NOT(ISERROR(SEARCH("Void",M17)))</formula>
    </cfRule>
    <cfRule type="containsText" dxfId="6" priority="86" stopIfTrue="1" operator="containsText" text="Completed">
      <formula>NOT(ISERROR(SEARCH("Completed",M17)))</formula>
    </cfRule>
    <cfRule type="containsText" dxfId="5" priority="87" stopIfTrue="1" operator="containsText" text="Ready">
      <formula>NOT(ISERROR(SEARCH("Ready",M17)))</formula>
    </cfRule>
    <cfRule type="containsText" dxfId="4" priority="88" stopIfTrue="1" operator="containsText" text="Specimen Received">
      <formula>NOT(ISERROR(SEARCH("Specimen Received",M17)))</formula>
    </cfRule>
    <cfRule type="containsText" dxfId="3" priority="89" stopIfTrue="1" operator="containsText" text="Ongoing">
      <formula>NOT(ISERROR(SEARCH("Ongoing",M17)))</formula>
    </cfRule>
    <cfRule type="containsText" dxfId="2" priority="90" stopIfTrue="1" operator="containsText" text="Awaiting Specimen">
      <formula>NOT(ISERROR(SEARCH("Awaiting Specimen",M17)))</formula>
    </cfRule>
  </conditionalFormatting>
  <dataValidations count="6">
    <dataValidation type="list" allowBlank="1" showInputMessage="1" showErrorMessage="1" sqref="M17:M28" xr:uid="{00000000-0002-0000-0200-000001000000}">
      <formula1>$AD$17:$AD$25</formula1>
    </dataValidation>
    <dataValidation type="list" showInputMessage="1" sqref="K17:K28" xr:uid="{00000000-0002-0000-0200-000004000000}">
      <formula1>waveform</formula1>
    </dataValidation>
    <dataValidation type="list" showInputMessage="1" sqref="L17:L28" xr:uid="{00000000-0002-0000-0200-000005000000}">
      <formula1>"tension, compression"</formula1>
    </dataValidation>
    <dataValidation type="list" allowBlank="1" showInputMessage="1" showErrorMessage="1" sqref="E17:E28" xr:uid="{00000000-0002-0000-0200-000000000000}">
      <formula1>$Z$17:$Z$28</formula1>
    </dataValidation>
    <dataValidation type="list" allowBlank="1" showInputMessage="1" showErrorMessage="1" sqref="G17:G28" xr:uid="{00000000-0002-0000-0200-000002000000}">
      <formula1>$AB$17:$AB$28</formula1>
    </dataValidation>
    <dataValidation type="list" allowBlank="1" showInputMessage="1" showErrorMessage="1" sqref="D17:D28" xr:uid="{00000000-0002-0000-0200-000003000000}">
      <formula1>$AA$17:$AA$28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3" stopIfTrue="1" operator="containsText" id="{99C5419C-E0EE-49D2-B3ED-4E06268BD3D8}">
            <xm:f>NOT(ISERROR(SEARCH("Quarantined",M17)))</xm:f>
            <xm:f>"Quarantined"</xm:f>
            <x14:dxf>
              <font>
                <color theme="0"/>
              </font>
              <fill>
                <patternFill>
                  <bgColor theme="5"/>
                </patternFill>
              </fill>
            </x14:dxf>
          </x14:cfRule>
          <xm:sqref>M17:M28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-0.249977111117893"/>
  </sheetPr>
  <dimension ref="A1:AU25"/>
  <sheetViews>
    <sheetView zoomScale="80" zoomScaleNormal="80" workbookViewId="0">
      <pane xSplit="2" ySplit="12" topLeftCell="AQ117" activePane="bottomRight" state="frozen"/>
      <selection pane="bottomRight" activeCell="AQ11" sqref="AQ11"/>
      <selection pane="bottomLeft" activeCell="A13" sqref="A13"/>
      <selection pane="topRight" activeCell="C1" sqref="C1"/>
    </sheetView>
  </sheetViews>
  <sheetFormatPr defaultRowHeight="15"/>
  <cols>
    <col min="1" max="2" width="14.5703125" customWidth="1"/>
    <col min="3" max="5" width="9.140625" customWidth="1"/>
    <col min="6" max="9" width="9.140625" style="3" customWidth="1"/>
    <col min="10" max="10" width="12" style="4" customWidth="1"/>
    <col min="11" max="11" width="11.140625" style="4" customWidth="1"/>
    <col min="12" max="12" width="9.140625" style="3" customWidth="1"/>
    <col min="13" max="13" width="9.140625" style="4" customWidth="1"/>
    <col min="14" max="14" width="12.5703125" style="4" bestFit="1" customWidth="1"/>
    <col min="15" max="17" width="9.140625" style="3" customWidth="1"/>
    <col min="18" max="18" width="10.42578125" customWidth="1"/>
    <col min="19" max="19" width="10.42578125" style="3" customWidth="1"/>
    <col min="20" max="20" width="12.140625" style="3" customWidth="1"/>
    <col min="21" max="21" width="10.42578125" style="3" customWidth="1"/>
    <col min="22" max="23" width="11.7109375" customWidth="1"/>
    <col min="24" max="33" width="14.28515625" customWidth="1"/>
    <col min="34" max="34" width="9.28515625" style="4" customWidth="1"/>
    <col min="35" max="35" width="12.5703125" style="4" customWidth="1"/>
    <col min="36" max="36" width="8.7109375" style="4" customWidth="1"/>
    <col min="37" max="37" width="9.28515625" style="4" customWidth="1"/>
    <col min="38" max="38" width="10" style="4" customWidth="1"/>
    <col min="39" max="40" width="9.28515625" style="4" customWidth="1"/>
    <col min="41" max="41" width="9.140625" customWidth="1"/>
    <col min="42" max="42" width="26.28515625" customWidth="1"/>
    <col min="43" max="43" width="18.7109375" customWidth="1"/>
    <col min="44" max="44" width="9.42578125" customWidth="1"/>
    <col min="45" max="45" width="3.85546875" customWidth="1"/>
    <col min="46" max="46" width="18.7109375" customWidth="1"/>
    <col min="47" max="47" width="68.85546875" customWidth="1"/>
  </cols>
  <sheetData>
    <row r="1" spans="1:47">
      <c r="J1" s="130" t="s">
        <v>23</v>
      </c>
      <c r="K1" s="130"/>
      <c r="L1" s="130"/>
      <c r="M1" s="129" t="str">
        <f>IF(ISBLANK('Test Diary'!K1),"",'Test Diary'!K1)</f>
        <v>SQ2024-1450</v>
      </c>
      <c r="N1" s="129"/>
      <c r="P1" s="5"/>
      <c r="Q1" s="5"/>
      <c r="AO1" s="42"/>
      <c r="AP1" s="42"/>
      <c r="AQ1" s="31"/>
    </row>
    <row r="2" spans="1:47">
      <c r="J2" s="130" t="s">
        <v>25</v>
      </c>
      <c r="K2" s="130"/>
      <c r="L2" s="130"/>
      <c r="M2" s="129" t="str">
        <f>IF(ISBLANK('Test Diary'!K2),"",'Test Diary'!K2)</f>
        <v>n/a</v>
      </c>
      <c r="N2" s="129"/>
      <c r="P2" s="5"/>
      <c r="Q2" s="5"/>
      <c r="AO2" s="42"/>
      <c r="AP2" s="42"/>
      <c r="AQ2" s="31"/>
    </row>
    <row r="3" spans="1:47">
      <c r="J3" s="130" t="s">
        <v>27</v>
      </c>
      <c r="K3" s="130"/>
      <c r="L3" s="130"/>
      <c r="M3" s="129" t="str">
        <f>IF(ISBLANK('Test Diary'!K3),"",'Test Diary'!K3)</f>
        <v>N Barnard</v>
      </c>
      <c r="N3" s="129"/>
      <c r="P3" s="5"/>
      <c r="Q3" s="5"/>
    </row>
    <row r="4" spans="1:47">
      <c r="J4" s="130" t="s">
        <v>29</v>
      </c>
      <c r="K4" s="130"/>
      <c r="L4" s="130"/>
      <c r="M4" s="129" t="str">
        <f>IF(ISBLANK('Test Diary'!K4),"",'Test Diary'!K4)</f>
        <v>A Jones</v>
      </c>
      <c r="N4" s="129"/>
    </row>
    <row r="5" spans="1:47">
      <c r="A5" s="1" t="s">
        <v>0</v>
      </c>
      <c r="B5" s="1"/>
    </row>
    <row r="6" spans="1:47">
      <c r="R6" s="7"/>
    </row>
    <row r="7" spans="1:47" ht="18.75">
      <c r="A7" s="2" t="s">
        <v>2</v>
      </c>
      <c r="B7" s="2"/>
    </row>
    <row r="8" spans="1:47" ht="18.75">
      <c r="A8" s="2" t="s">
        <v>4</v>
      </c>
      <c r="B8" s="2"/>
    </row>
    <row r="9" spans="1:47" ht="18.75">
      <c r="A9" s="2"/>
      <c r="B9" s="2"/>
    </row>
    <row r="10" spans="1:47">
      <c r="C10" s="131" t="s">
        <v>138</v>
      </c>
      <c r="D10" s="131"/>
      <c r="E10" s="131"/>
      <c r="F10" s="131"/>
      <c r="G10" s="131"/>
      <c r="H10" s="131"/>
      <c r="I10" s="24"/>
      <c r="J10" s="22"/>
      <c r="K10" s="22"/>
    </row>
    <row r="11" spans="1:47" s="1" customFormat="1" ht="46.5">
      <c r="A11" s="59" t="s">
        <v>139</v>
      </c>
      <c r="B11" s="59" t="s">
        <v>140</v>
      </c>
      <c r="C11" s="61">
        <v>1</v>
      </c>
      <c r="D11" s="61">
        <v>2</v>
      </c>
      <c r="E11" s="61">
        <v>3</v>
      </c>
      <c r="F11" s="61">
        <v>4</v>
      </c>
      <c r="G11" s="61">
        <v>5</v>
      </c>
      <c r="H11" s="61" t="s">
        <v>141</v>
      </c>
      <c r="I11" s="60" t="s">
        <v>142</v>
      </c>
      <c r="J11" s="139" t="s">
        <v>143</v>
      </c>
      <c r="K11" s="62" t="s">
        <v>144</v>
      </c>
      <c r="L11" s="62" t="s">
        <v>145</v>
      </c>
      <c r="M11" s="63" t="s">
        <v>56</v>
      </c>
      <c r="N11" s="63" t="s">
        <v>64</v>
      </c>
      <c r="O11" s="62" t="s">
        <v>146</v>
      </c>
      <c r="P11" s="62" t="s">
        <v>147</v>
      </c>
      <c r="Q11" s="62" t="s">
        <v>148</v>
      </c>
      <c r="R11" s="62" t="s">
        <v>149</v>
      </c>
      <c r="S11" s="62" t="s">
        <v>150</v>
      </c>
      <c r="T11" s="64" t="s">
        <v>151</v>
      </c>
      <c r="U11" s="64" t="s">
        <v>152</v>
      </c>
      <c r="V11" s="60" t="s">
        <v>57</v>
      </c>
      <c r="W11" s="60" t="s">
        <v>57</v>
      </c>
      <c r="X11" s="59" t="s">
        <v>153</v>
      </c>
      <c r="Y11" s="59" t="s">
        <v>154</v>
      </c>
      <c r="Z11" s="59" t="s">
        <v>155</v>
      </c>
      <c r="AA11" s="59" t="s">
        <v>156</v>
      </c>
      <c r="AB11" s="59" t="s">
        <v>157</v>
      </c>
      <c r="AC11" s="59" t="s">
        <v>158</v>
      </c>
      <c r="AD11" s="59" t="s">
        <v>159</v>
      </c>
      <c r="AE11" s="59" t="s">
        <v>160</v>
      </c>
      <c r="AF11" s="59" t="s">
        <v>161</v>
      </c>
      <c r="AG11" s="59" t="s">
        <v>162</v>
      </c>
      <c r="AH11" s="65" t="s">
        <v>163</v>
      </c>
      <c r="AI11" s="63" t="s">
        <v>164</v>
      </c>
      <c r="AJ11" s="65" t="s">
        <v>165</v>
      </c>
      <c r="AK11" s="65" t="s">
        <v>166</v>
      </c>
      <c r="AL11" s="65" t="s">
        <v>152</v>
      </c>
      <c r="AM11" s="65" t="s">
        <v>167</v>
      </c>
      <c r="AN11" s="65" t="s">
        <v>168</v>
      </c>
      <c r="AO11" s="60" t="s">
        <v>169</v>
      </c>
      <c r="AP11" s="60" t="s">
        <v>170</v>
      </c>
      <c r="AQ11" s="60" t="s">
        <v>71</v>
      </c>
      <c r="AR11" s="60" t="s">
        <v>57</v>
      </c>
      <c r="AS11" s="132" t="s">
        <v>72</v>
      </c>
      <c r="AT11" s="133"/>
      <c r="AU11" s="134"/>
    </row>
    <row r="12" spans="1:47" s="1" customFormat="1">
      <c r="A12" s="66" t="s">
        <v>171</v>
      </c>
      <c r="B12" s="66" t="s">
        <v>171</v>
      </c>
      <c r="C12" s="66"/>
      <c r="D12" s="66"/>
      <c r="E12" s="66"/>
      <c r="F12" s="66"/>
      <c r="G12" s="66"/>
      <c r="H12" s="66"/>
      <c r="I12" s="66"/>
      <c r="J12" s="139"/>
      <c r="K12" s="67" t="s">
        <v>172</v>
      </c>
      <c r="L12" s="67" t="s">
        <v>173</v>
      </c>
      <c r="M12" s="68" t="s">
        <v>67</v>
      </c>
      <c r="N12" s="68" t="s">
        <v>174</v>
      </c>
      <c r="O12" s="67" t="s">
        <v>173</v>
      </c>
      <c r="P12" s="67" t="s">
        <v>173</v>
      </c>
      <c r="Q12" s="67" t="s">
        <v>173</v>
      </c>
      <c r="R12" s="67" t="s">
        <v>172</v>
      </c>
      <c r="S12" s="67" t="s">
        <v>172</v>
      </c>
      <c r="T12" s="67" t="s">
        <v>173</v>
      </c>
      <c r="U12" s="68" t="s">
        <v>175</v>
      </c>
      <c r="V12" s="66" t="s">
        <v>176</v>
      </c>
      <c r="W12" s="66" t="s">
        <v>177</v>
      </c>
      <c r="X12" s="66" t="s">
        <v>178</v>
      </c>
      <c r="Y12" s="66" t="s">
        <v>178</v>
      </c>
      <c r="Z12" s="66" t="s">
        <v>179</v>
      </c>
      <c r="AA12" s="66" t="s">
        <v>179</v>
      </c>
      <c r="AB12" s="66" t="s">
        <v>73</v>
      </c>
      <c r="AC12" s="66" t="s">
        <v>73</v>
      </c>
      <c r="AD12" s="66" t="s">
        <v>73</v>
      </c>
      <c r="AE12" s="66" t="s">
        <v>73</v>
      </c>
      <c r="AF12" s="66" t="s">
        <v>74</v>
      </c>
      <c r="AG12" s="66" t="s">
        <v>74</v>
      </c>
      <c r="AH12" s="68" t="s">
        <v>180</v>
      </c>
      <c r="AI12" s="68" t="s">
        <v>181</v>
      </c>
      <c r="AJ12" s="68" t="s">
        <v>175</v>
      </c>
      <c r="AK12" s="68" t="s">
        <v>175</v>
      </c>
      <c r="AL12" s="68" t="s">
        <v>175</v>
      </c>
      <c r="AM12" s="68" t="s">
        <v>182</v>
      </c>
      <c r="AN12" s="68" t="s">
        <v>74</v>
      </c>
      <c r="AO12" s="66" t="s">
        <v>183</v>
      </c>
      <c r="AP12" s="66"/>
      <c r="AQ12" s="66" t="s">
        <v>184</v>
      </c>
      <c r="AR12" s="66" t="s">
        <v>185</v>
      </c>
      <c r="AS12" s="135"/>
      <c r="AT12" s="136"/>
      <c r="AU12" s="137"/>
    </row>
    <row r="13" spans="1:47">
      <c r="A13" s="114" t="str">
        <f>IF(ISBLANK('Test Summary'!A17),"",'Test Summary'!A17)</f>
        <v>STS2024-33178</v>
      </c>
      <c r="B13" s="114" t="str">
        <f>IF(ISBLANK('Test Summary'!B17),"",'Test Summary'!B17)</f>
        <v>RT01</v>
      </c>
      <c r="C13" s="20">
        <v>8.7899999999999991</v>
      </c>
      <c r="D13" s="20">
        <v>8.7929999999999993</v>
      </c>
      <c r="E13" s="20">
        <v>8.7989999999999995</v>
      </c>
      <c r="F13" s="20">
        <v>8.8010000000000002</v>
      </c>
      <c r="G13" s="20">
        <v>8.8010000000000002</v>
      </c>
      <c r="H13" s="108">
        <f>AVERAGE(C13:G13)</f>
        <v>8.7968000000000011</v>
      </c>
      <c r="I13" s="108">
        <f t="shared" ref="I13:I24" si="0">(PI()*(H13*H13))/4</f>
        <v>60.77700819141306</v>
      </c>
      <c r="J13" s="20">
        <v>0.05</v>
      </c>
      <c r="K13" s="21"/>
      <c r="L13" s="50">
        <f>IF(ISBLANK('Test Summary'!H17),"",'Test Summary'!H17)</f>
        <v>0.15</v>
      </c>
      <c r="M13" s="50">
        <f>IF(ISBLANK('Test Summary'!J17),"",'Test Summary'!J17)</f>
        <v>-1</v>
      </c>
      <c r="N13" s="51">
        <f>IF(ISBLANK('Test Summary'!F17),"",'Test Summary'!F17)</f>
        <v>300</v>
      </c>
      <c r="O13" s="52">
        <f>IF(ISBLANK('Test Summary'!J17),"",L13*M13)</f>
        <v>-0.15</v>
      </c>
      <c r="P13" s="49">
        <f t="shared" ref="P13:P24" si="1">L13-O13</f>
        <v>0.3</v>
      </c>
      <c r="Q13" s="49">
        <f>(L13+O13)/2</f>
        <v>0</v>
      </c>
      <c r="R13" s="49">
        <f>(L13/100)*K13</f>
        <v>0</v>
      </c>
      <c r="S13" s="49">
        <f t="shared" ref="S13:S24" si="2">(O13/100)*K13</f>
        <v>0</v>
      </c>
      <c r="T13" s="49">
        <f t="shared" ref="T13:T24" si="3">0.5*(P13)</f>
        <v>0.15</v>
      </c>
      <c r="U13" s="49">
        <f t="shared" ref="U13:U24" si="4">0.5*(AK13-AJ13)</f>
        <v>279.086403547369</v>
      </c>
      <c r="V13" s="107" t="s">
        <v>186</v>
      </c>
      <c r="W13" s="107" t="s">
        <v>187</v>
      </c>
      <c r="X13" s="113">
        <v>45537</v>
      </c>
      <c r="Y13" s="113">
        <v>45539</v>
      </c>
      <c r="Z13" s="103">
        <v>4.5</v>
      </c>
      <c r="AA13" s="103">
        <v>0.9</v>
      </c>
      <c r="AB13" s="103">
        <v>301.10000000000002</v>
      </c>
      <c r="AC13" s="103">
        <v>298.60000000000002</v>
      </c>
      <c r="AD13" s="103">
        <v>23</v>
      </c>
      <c r="AE13" s="103">
        <v>21.2</v>
      </c>
      <c r="AF13" s="103">
        <v>61.4</v>
      </c>
      <c r="AG13" s="103">
        <v>34</v>
      </c>
      <c r="AH13" s="110">
        <v>201.33</v>
      </c>
      <c r="AI13" s="111">
        <v>23095</v>
      </c>
      <c r="AJ13" s="110">
        <v>-238.65295666286499</v>
      </c>
      <c r="AK13" s="110">
        <v>319.51985043187301</v>
      </c>
      <c r="AL13" s="112">
        <f t="shared" ref="AL13:AL22" si="5">0.5*(AK13-AJ13)</f>
        <v>279.086403547369</v>
      </c>
      <c r="AM13" s="110">
        <f>AK13-AJ13</f>
        <v>558.172807094738</v>
      </c>
      <c r="AN13" s="110"/>
      <c r="AO13" s="107" t="s">
        <v>188</v>
      </c>
      <c r="AP13" s="107" t="s">
        <v>123</v>
      </c>
      <c r="AQ13" s="109">
        <v>23096</v>
      </c>
      <c r="AR13" s="69">
        <v>1</v>
      </c>
      <c r="AS13" s="138" t="s">
        <v>189</v>
      </c>
      <c r="AT13" s="138"/>
      <c r="AU13" s="138"/>
    </row>
    <row r="14" spans="1:47">
      <c r="A14" s="114" t="str">
        <f>IF(ISBLANK('Test Summary'!A18),"",'Test Summary'!A18)</f>
        <v>STS2024-33179</v>
      </c>
      <c r="B14" s="114" t="str">
        <f>IF(ISBLANK('Test Summary'!B18),"",'Test Summary'!B18)</f>
        <v>RT02</v>
      </c>
      <c r="C14" s="21">
        <v>8.798</v>
      </c>
      <c r="D14" s="21">
        <v>8.8000000000000007</v>
      </c>
      <c r="E14" s="21">
        <v>8.8030000000000008</v>
      </c>
      <c r="F14" s="21">
        <v>8.8059999999999992</v>
      </c>
      <c r="G14" s="21">
        <v>8.8059999999999992</v>
      </c>
      <c r="H14" s="108">
        <f t="shared" ref="H14:H24" si="6">AVERAGE(C14:G14)</f>
        <v>8.8026</v>
      </c>
      <c r="I14" s="108">
        <f t="shared" si="0"/>
        <v>60.857178902747052</v>
      </c>
      <c r="J14" s="20">
        <v>5.0000000000000001E-3</v>
      </c>
      <c r="K14" s="21"/>
      <c r="L14" s="50">
        <f>IF(ISBLANK('Test Summary'!H18),"",'Test Summary'!H18)</f>
        <v>0.15</v>
      </c>
      <c r="M14" s="50">
        <f>IF(ISBLANK('Test Summary'!J18),"",'Test Summary'!J18)</f>
        <v>-1</v>
      </c>
      <c r="N14" s="51">
        <f>IF(ISBLANK('Test Summary'!F18),"",'Test Summary'!F18)</f>
        <v>300</v>
      </c>
      <c r="O14" s="52">
        <f>IF(ISBLANK('Test Summary'!J18),"",L14*M14)</f>
        <v>-0.15</v>
      </c>
      <c r="P14" s="49">
        <f t="shared" si="1"/>
        <v>0.3</v>
      </c>
      <c r="Q14" s="49">
        <f t="shared" ref="Q14:Q24" si="7">(L14+O14)/2</f>
        <v>0</v>
      </c>
      <c r="R14" s="49">
        <f t="shared" ref="R14:R24" si="8">(L14/100)*K14</f>
        <v>0</v>
      </c>
      <c r="S14" s="49">
        <f t="shared" si="2"/>
        <v>0</v>
      </c>
      <c r="T14" s="49">
        <f t="shared" si="3"/>
        <v>0.15</v>
      </c>
      <c r="U14" s="49">
        <f t="shared" si="4"/>
        <v>272.74653512162951</v>
      </c>
      <c r="V14" s="107" t="s">
        <v>186</v>
      </c>
      <c r="W14" s="107" t="s">
        <v>187</v>
      </c>
      <c r="X14" s="113">
        <v>45523</v>
      </c>
      <c r="Y14" s="113">
        <v>45525</v>
      </c>
      <c r="Z14" s="103">
        <v>1.7</v>
      </c>
      <c r="AA14" s="103">
        <v>0.7</v>
      </c>
      <c r="AB14" s="103">
        <v>300.2</v>
      </c>
      <c r="AC14" s="103">
        <v>299.7</v>
      </c>
      <c r="AD14" s="103">
        <v>23</v>
      </c>
      <c r="AE14" s="103">
        <v>21.2</v>
      </c>
      <c r="AF14" s="103">
        <v>58.2</v>
      </c>
      <c r="AG14" s="103">
        <v>32.5</v>
      </c>
      <c r="AH14" s="110">
        <v>191.08</v>
      </c>
      <c r="AI14" s="111">
        <v>23095</v>
      </c>
      <c r="AJ14" s="110">
        <v>-219.72227803357001</v>
      </c>
      <c r="AK14" s="110">
        <v>325.77079220968898</v>
      </c>
      <c r="AL14" s="112">
        <f>0.5*(AK14-AJ14)</f>
        <v>272.74653512162951</v>
      </c>
      <c r="AM14" s="110">
        <f>AK14-AJ14</f>
        <v>545.49307024325901</v>
      </c>
      <c r="AN14" s="110"/>
      <c r="AO14" s="107" t="s">
        <v>188</v>
      </c>
      <c r="AP14" s="107" t="s">
        <v>123</v>
      </c>
      <c r="AQ14" s="109">
        <v>23096</v>
      </c>
      <c r="AR14" s="69">
        <v>1</v>
      </c>
      <c r="AS14" s="138" t="s">
        <v>190</v>
      </c>
      <c r="AT14" s="138"/>
      <c r="AU14" s="138"/>
    </row>
    <row r="15" spans="1:47">
      <c r="A15" s="114" t="str">
        <f>IF(ISBLANK('Test Summary'!A19),"",'Test Summary'!A19)</f>
        <v>STS2024-33180</v>
      </c>
      <c r="B15" s="114" t="str">
        <f>IF(ISBLANK('Test Summary'!B19),"",'Test Summary'!B19)</f>
        <v>RT03</v>
      </c>
      <c r="C15" s="21">
        <v>8.7899999999999991</v>
      </c>
      <c r="D15" s="21">
        <v>8.7989999999999995</v>
      </c>
      <c r="E15" s="21">
        <v>8.7929999999999993</v>
      </c>
      <c r="F15" s="21">
        <v>8.8070000000000004</v>
      </c>
      <c r="G15" s="21">
        <v>8.8019999999999996</v>
      </c>
      <c r="H15" s="108">
        <f t="shared" si="6"/>
        <v>8.7981999999999996</v>
      </c>
      <c r="I15" s="108">
        <f t="shared" si="0"/>
        <v>60.796354904372002</v>
      </c>
      <c r="J15" s="20">
        <v>1E-3</v>
      </c>
      <c r="K15" s="21"/>
      <c r="L15" s="50">
        <f>IF(ISBLANK('Test Summary'!H19),"",'Test Summary'!H19)</f>
        <v>0.15</v>
      </c>
      <c r="M15" s="50">
        <f>IF(ISBLANK('Test Summary'!J19),"",'Test Summary'!J19)</f>
        <v>-1</v>
      </c>
      <c r="N15" s="51">
        <f>IF(ISBLANK('Test Summary'!F19),"",'Test Summary'!F19)</f>
        <v>300</v>
      </c>
      <c r="O15" s="52">
        <f>IF(ISBLANK('Test Summary'!J19),"",L15*M15)</f>
        <v>-0.15</v>
      </c>
      <c r="P15" s="49">
        <f t="shared" si="1"/>
        <v>0.3</v>
      </c>
      <c r="Q15" s="49">
        <f t="shared" si="7"/>
        <v>0</v>
      </c>
      <c r="R15" s="49">
        <f t="shared" si="8"/>
        <v>0</v>
      </c>
      <c r="S15" s="49">
        <f t="shared" si="2"/>
        <v>0</v>
      </c>
      <c r="T15" s="49">
        <f t="shared" si="3"/>
        <v>0.15</v>
      </c>
      <c r="U15" s="49">
        <f t="shared" si="4"/>
        <v>0</v>
      </c>
      <c r="V15" s="107" t="s">
        <v>186</v>
      </c>
      <c r="W15" s="107"/>
      <c r="X15" s="113"/>
      <c r="Y15" s="113"/>
      <c r="Z15" s="103"/>
      <c r="AA15" s="103"/>
      <c r="AB15" s="103"/>
      <c r="AC15" s="103"/>
      <c r="AD15" s="103"/>
      <c r="AE15" s="103"/>
      <c r="AF15" s="103"/>
      <c r="AG15" s="103"/>
      <c r="AH15" s="110"/>
      <c r="AI15" s="111"/>
      <c r="AJ15" s="110"/>
      <c r="AK15" s="110"/>
      <c r="AL15" s="112">
        <f t="shared" si="5"/>
        <v>0</v>
      </c>
      <c r="AM15" s="110"/>
      <c r="AN15" s="110"/>
      <c r="AO15" s="107"/>
      <c r="AP15" s="107"/>
      <c r="AQ15" s="109"/>
      <c r="AR15" s="69"/>
      <c r="AS15" s="138" t="s">
        <v>191</v>
      </c>
      <c r="AT15" s="138"/>
      <c r="AU15" s="138"/>
    </row>
    <row r="16" spans="1:47">
      <c r="A16" s="114" t="str">
        <f>IF(ISBLANK('Test Summary'!A20),"",'Test Summary'!A20)</f>
        <v>STS2024-33181</v>
      </c>
      <c r="B16" s="114" t="str">
        <f>IF(ISBLANK('Test Summary'!B20),"",'Test Summary'!B20)</f>
        <v>RT04</v>
      </c>
      <c r="C16" s="21">
        <v>8.7989999999999995</v>
      </c>
      <c r="D16" s="21">
        <v>8.7989999999999995</v>
      </c>
      <c r="E16" s="21">
        <v>8.8030000000000008</v>
      </c>
      <c r="F16" s="21">
        <v>8.8000000000000007</v>
      </c>
      <c r="G16" s="21">
        <v>8.7959999999999994</v>
      </c>
      <c r="H16" s="108">
        <f t="shared" si="6"/>
        <v>8.7994000000000003</v>
      </c>
      <c r="I16" s="108">
        <f t="shared" si="0"/>
        <v>60.812940251636256</v>
      </c>
      <c r="J16" s="20">
        <v>4.0000000000000001E-3</v>
      </c>
      <c r="K16" s="21">
        <v>12.518599999999999</v>
      </c>
      <c r="L16" s="50">
        <f>IF(ISBLANK('Test Summary'!H20),"",'Test Summary'!H20)</f>
        <v>0.2</v>
      </c>
      <c r="M16" s="50">
        <f>IF(ISBLANK('Test Summary'!J20),"",'Test Summary'!J20)</f>
        <v>-1</v>
      </c>
      <c r="N16" s="51">
        <f>IF(ISBLANK('Test Summary'!F20),"",'Test Summary'!F20)</f>
        <v>300</v>
      </c>
      <c r="O16" s="52">
        <f>IF(ISBLANK('Test Summary'!J20),"",L16*M16)</f>
        <v>-0.2</v>
      </c>
      <c r="P16" s="49">
        <f t="shared" si="1"/>
        <v>0.4</v>
      </c>
      <c r="Q16" s="49">
        <f t="shared" si="7"/>
        <v>0</v>
      </c>
      <c r="R16" s="49">
        <f t="shared" si="8"/>
        <v>2.5037199999999999E-2</v>
      </c>
      <c r="S16" s="49">
        <f t="shared" si="2"/>
        <v>-2.5037199999999999E-2</v>
      </c>
      <c r="T16" s="49">
        <f t="shared" si="3"/>
        <v>0.2</v>
      </c>
      <c r="U16" s="49">
        <f t="shared" si="4"/>
        <v>316.58805888517702</v>
      </c>
      <c r="V16" s="107" t="s">
        <v>186</v>
      </c>
      <c r="W16" s="107" t="s">
        <v>187</v>
      </c>
      <c r="X16" s="113">
        <v>45531</v>
      </c>
      <c r="Y16" s="113">
        <v>45532</v>
      </c>
      <c r="Z16" s="103">
        <v>1.8</v>
      </c>
      <c r="AA16" s="103">
        <v>0.8</v>
      </c>
      <c r="AB16" s="103">
        <v>300.3</v>
      </c>
      <c r="AC16" s="103">
        <v>298.3</v>
      </c>
      <c r="AD16" s="103">
        <v>22.9</v>
      </c>
      <c r="AE16" s="103">
        <v>21.5</v>
      </c>
      <c r="AF16" s="103">
        <v>55.4</v>
      </c>
      <c r="AG16" s="103">
        <v>33</v>
      </c>
      <c r="AH16" s="110">
        <v>186.61</v>
      </c>
      <c r="AI16" s="111">
        <v>6074</v>
      </c>
      <c r="AJ16" s="110">
        <v>-312.70873043940702</v>
      </c>
      <c r="AK16" s="110">
        <v>320.46738733094702</v>
      </c>
      <c r="AL16" s="112">
        <f>0.5*(AK16-AJ16)</f>
        <v>316.58805888517702</v>
      </c>
      <c r="AM16" s="110">
        <f>AK16-AJ16</f>
        <v>633.17611777035404</v>
      </c>
      <c r="AN16" s="110"/>
      <c r="AO16" s="107" t="s">
        <v>188</v>
      </c>
      <c r="AP16" s="107" t="s">
        <v>123</v>
      </c>
      <c r="AQ16" s="109">
        <v>6075</v>
      </c>
      <c r="AR16" s="69">
        <v>2</v>
      </c>
      <c r="AS16" s="138" t="s">
        <v>192</v>
      </c>
      <c r="AT16" s="138"/>
      <c r="AU16" s="138"/>
    </row>
    <row r="17" spans="1:47">
      <c r="A17" s="114" t="str">
        <f>IF(ISBLANK('Test Summary'!A21),"",'Test Summary'!A21)</f>
        <v>STS2024-33182</v>
      </c>
      <c r="B17" s="114" t="str">
        <f>IF(ISBLANK('Test Summary'!B21),"",'Test Summary'!B21)</f>
        <v>RT05</v>
      </c>
      <c r="C17" s="21">
        <v>8.798</v>
      </c>
      <c r="D17" s="21">
        <v>8.8000000000000007</v>
      </c>
      <c r="E17" s="21">
        <v>8.8010000000000002</v>
      </c>
      <c r="F17" s="21">
        <v>8.8040000000000003</v>
      </c>
      <c r="G17" s="21">
        <v>8.8030000000000008</v>
      </c>
      <c r="H17" s="108">
        <f t="shared" si="6"/>
        <v>8.8011999999999997</v>
      </c>
      <c r="I17" s="108">
        <f t="shared" si="0"/>
        <v>60.837822513682703</v>
      </c>
      <c r="J17" s="20">
        <v>0.01</v>
      </c>
      <c r="K17" s="21">
        <v>12.518000000000001</v>
      </c>
      <c r="L17" s="50">
        <f>IF(ISBLANK('Test Summary'!H21),"",'Test Summary'!H21)</f>
        <v>0.2</v>
      </c>
      <c r="M17" s="50">
        <f>IF(ISBLANK('Test Summary'!J21),"",'Test Summary'!J21)</f>
        <v>-1</v>
      </c>
      <c r="N17" s="51">
        <f>IF(ISBLANK('Test Summary'!F21),"",'Test Summary'!F21)</f>
        <v>300</v>
      </c>
      <c r="O17" s="52">
        <f>IF(ISBLANK('Test Summary'!J21),"",L17*M17)</f>
        <v>-0.2</v>
      </c>
      <c r="P17" s="49">
        <f t="shared" si="1"/>
        <v>0.4</v>
      </c>
      <c r="Q17" s="49">
        <f t="shared" si="7"/>
        <v>0</v>
      </c>
      <c r="R17" s="49">
        <f t="shared" si="8"/>
        <v>2.5036000000000003E-2</v>
      </c>
      <c r="S17" s="49">
        <f t="shared" si="2"/>
        <v>-2.5036000000000003E-2</v>
      </c>
      <c r="T17" s="49">
        <f t="shared" si="3"/>
        <v>0.2</v>
      </c>
      <c r="U17" s="49">
        <f t="shared" si="4"/>
        <v>316.01016148628446</v>
      </c>
      <c r="V17" s="107" t="s">
        <v>186</v>
      </c>
      <c r="W17" s="107" t="s">
        <v>187</v>
      </c>
      <c r="X17" s="113">
        <v>45518</v>
      </c>
      <c r="Y17" s="113">
        <v>45519</v>
      </c>
      <c r="Z17" s="103">
        <v>1.8</v>
      </c>
      <c r="AA17" s="103">
        <v>0.9</v>
      </c>
      <c r="AB17" s="103">
        <v>298.2</v>
      </c>
      <c r="AC17" s="103">
        <v>297.5</v>
      </c>
      <c r="AD17" s="103">
        <v>24.2</v>
      </c>
      <c r="AE17" s="103">
        <v>22</v>
      </c>
      <c r="AF17" s="103">
        <v>55.7</v>
      </c>
      <c r="AG17" s="103">
        <v>32.200000000000003</v>
      </c>
      <c r="AH17" s="110">
        <v>195.31</v>
      </c>
      <c r="AI17" s="111">
        <v>6074</v>
      </c>
      <c r="AJ17" s="110">
        <v>-305.29361426773499</v>
      </c>
      <c r="AK17" s="110">
        <v>326.72670870483398</v>
      </c>
      <c r="AL17" s="112">
        <f>0.5*(AK17-AJ17)</f>
        <v>316.01016148628446</v>
      </c>
      <c r="AM17" s="110">
        <f>AK17-AJ17</f>
        <v>632.02032297256892</v>
      </c>
      <c r="AN17" s="110"/>
      <c r="AO17" s="107" t="s">
        <v>188</v>
      </c>
      <c r="AP17" s="107" t="s">
        <v>123</v>
      </c>
      <c r="AQ17" s="109">
        <v>6075</v>
      </c>
      <c r="AR17" s="69">
        <v>1</v>
      </c>
      <c r="AS17" s="138" t="s">
        <v>193</v>
      </c>
      <c r="AT17" s="138"/>
      <c r="AU17" s="138"/>
    </row>
    <row r="18" spans="1:47">
      <c r="A18" s="114" t="str">
        <f>IF(ISBLANK('Test Summary'!A22),"",'Test Summary'!A22)</f>
        <v>STS2024-33183</v>
      </c>
      <c r="B18" s="114" t="str">
        <f>IF(ISBLANK('Test Summary'!B22),"",'Test Summary'!B22)</f>
        <v>RT06</v>
      </c>
      <c r="C18" s="21">
        <v>8.8030000000000008</v>
      </c>
      <c r="D18" s="21">
        <v>8.8059999999999992</v>
      </c>
      <c r="E18" s="21">
        <v>8.8070000000000004</v>
      </c>
      <c r="F18" s="21">
        <v>8.8089999999999993</v>
      </c>
      <c r="G18" s="21">
        <v>8.81</v>
      </c>
      <c r="H18" s="108">
        <f t="shared" si="6"/>
        <v>8.8070000000000004</v>
      </c>
      <c r="I18" s="108">
        <f t="shared" si="0"/>
        <v>60.918033311738981</v>
      </c>
      <c r="J18" s="20">
        <v>1E-3</v>
      </c>
      <c r="K18" s="21"/>
      <c r="L18" s="50">
        <f>IF(ISBLANK('Test Summary'!H22),"",'Test Summary'!H22)</f>
        <v>0.2</v>
      </c>
      <c r="M18" s="50">
        <f>IF(ISBLANK('Test Summary'!J22),"",'Test Summary'!J22)</f>
        <v>-1</v>
      </c>
      <c r="N18" s="51">
        <f>IF(ISBLANK('Test Summary'!F22),"",'Test Summary'!F22)</f>
        <v>300</v>
      </c>
      <c r="O18" s="52">
        <f>IF(ISBLANK('Test Summary'!J22),"",L18*M18)</f>
        <v>-0.2</v>
      </c>
      <c r="P18" s="49">
        <f t="shared" si="1"/>
        <v>0.4</v>
      </c>
      <c r="Q18" s="49">
        <f t="shared" si="7"/>
        <v>0</v>
      </c>
      <c r="R18" s="49">
        <f t="shared" si="8"/>
        <v>0</v>
      </c>
      <c r="S18" s="49">
        <f t="shared" si="2"/>
        <v>0</v>
      </c>
      <c r="T18" s="49">
        <f t="shared" si="3"/>
        <v>0.2</v>
      </c>
      <c r="U18" s="49">
        <f t="shared" si="4"/>
        <v>0</v>
      </c>
      <c r="V18" s="107" t="s">
        <v>186</v>
      </c>
      <c r="W18" s="107"/>
      <c r="X18" s="113"/>
      <c r="Y18" s="113"/>
      <c r="Z18" s="103"/>
      <c r="AA18" s="103"/>
      <c r="AB18" s="103"/>
      <c r="AC18" s="103"/>
      <c r="AD18" s="103"/>
      <c r="AE18" s="103"/>
      <c r="AF18" s="103"/>
      <c r="AG18" s="103"/>
      <c r="AH18" s="110"/>
      <c r="AI18" s="111"/>
      <c r="AJ18" s="110"/>
      <c r="AK18" s="110"/>
      <c r="AL18" s="112">
        <f t="shared" si="5"/>
        <v>0</v>
      </c>
      <c r="AM18" s="110"/>
      <c r="AN18" s="110"/>
      <c r="AO18" s="107"/>
      <c r="AP18" s="107"/>
      <c r="AQ18" s="109"/>
      <c r="AR18" s="69"/>
      <c r="AS18" s="138" t="s">
        <v>194</v>
      </c>
      <c r="AT18" s="138"/>
      <c r="AU18" s="138"/>
    </row>
    <row r="19" spans="1:47">
      <c r="A19" s="114" t="str">
        <f>IF(ISBLANK('Test Summary'!A23),"",'Test Summary'!A23)</f>
        <v>STS2024-33184</v>
      </c>
      <c r="B19" s="114" t="str">
        <f>IF(ISBLANK('Test Summary'!B23),"",'Test Summary'!B23)</f>
        <v>RT07</v>
      </c>
      <c r="C19" s="21">
        <v>8.7989999999999995</v>
      </c>
      <c r="D19" s="21">
        <v>8.8000000000000007</v>
      </c>
      <c r="E19" s="21">
        <v>8.8000000000000007</v>
      </c>
      <c r="F19" s="21">
        <v>8.8010000000000002</v>
      </c>
      <c r="G19" s="21">
        <v>8.8019999999999996</v>
      </c>
      <c r="H19" s="108">
        <f t="shared" si="6"/>
        <v>8.8003999999999998</v>
      </c>
      <c r="I19" s="108">
        <f t="shared" si="0"/>
        <v>60.82676310223242</v>
      </c>
      <c r="J19" s="20">
        <v>0.01</v>
      </c>
      <c r="K19" s="21">
        <v>12.5055</v>
      </c>
      <c r="L19" s="50">
        <f>IF(ISBLANK('Test Summary'!H23),"",'Test Summary'!H23)</f>
        <v>0.25</v>
      </c>
      <c r="M19" s="50">
        <f>IF(ISBLANK('Test Summary'!J23),"",'Test Summary'!J23)</f>
        <v>-1</v>
      </c>
      <c r="N19" s="51">
        <f>IF(ISBLANK('Test Summary'!F23),"",'Test Summary'!F23)</f>
        <v>300</v>
      </c>
      <c r="O19" s="52">
        <f>IF(ISBLANK('Test Summary'!J23),"",L19*M19)</f>
        <v>-0.25</v>
      </c>
      <c r="P19" s="49">
        <f t="shared" si="1"/>
        <v>0.5</v>
      </c>
      <c r="Q19" s="49">
        <f t="shared" si="7"/>
        <v>0</v>
      </c>
      <c r="R19" s="49">
        <f t="shared" si="8"/>
        <v>3.126375E-2</v>
      </c>
      <c r="S19" s="49">
        <f t="shared" si="2"/>
        <v>-3.126375E-2</v>
      </c>
      <c r="T19" s="49">
        <f t="shared" si="3"/>
        <v>0.25</v>
      </c>
      <c r="U19" s="49">
        <f t="shared" si="4"/>
        <v>334.99060262450303</v>
      </c>
      <c r="V19" s="107" t="s">
        <v>186</v>
      </c>
      <c r="W19" s="107" t="s">
        <v>187</v>
      </c>
      <c r="X19" s="113">
        <v>45533</v>
      </c>
      <c r="Y19" s="113">
        <v>45534</v>
      </c>
      <c r="Z19" s="103">
        <v>1.5</v>
      </c>
      <c r="AA19" s="103">
        <v>0.65</v>
      </c>
      <c r="AB19" s="103">
        <v>301.39999999999998</v>
      </c>
      <c r="AC19" s="103">
        <v>299.39999999999998</v>
      </c>
      <c r="AD19" s="103">
        <v>23.2</v>
      </c>
      <c r="AE19" s="103">
        <v>21.4</v>
      </c>
      <c r="AF19" s="103">
        <v>47.4</v>
      </c>
      <c r="AG19" s="103">
        <v>33.1</v>
      </c>
      <c r="AH19" s="110">
        <v>194.21</v>
      </c>
      <c r="AI19" s="111">
        <v>2241</v>
      </c>
      <c r="AJ19" s="110">
        <v>-332.66138518309498</v>
      </c>
      <c r="AK19" s="110">
        <v>337.31982006591102</v>
      </c>
      <c r="AL19" s="112">
        <f t="shared" si="5"/>
        <v>334.99060262450303</v>
      </c>
      <c r="AM19" s="110"/>
      <c r="AN19" s="110"/>
      <c r="AO19" s="107" t="s">
        <v>188</v>
      </c>
      <c r="AP19" s="107" t="s">
        <v>123</v>
      </c>
      <c r="AQ19" s="109">
        <v>2242</v>
      </c>
      <c r="AR19" s="69">
        <v>1</v>
      </c>
      <c r="AS19" s="138" t="s">
        <v>195</v>
      </c>
      <c r="AT19" s="138"/>
      <c r="AU19" s="138"/>
    </row>
    <row r="20" spans="1:47">
      <c r="A20" s="114" t="str">
        <f>IF(ISBLANK('Test Summary'!A24),"",'Test Summary'!A24)</f>
        <v>STS2024-33185</v>
      </c>
      <c r="B20" s="114" t="str">
        <f>IF(ISBLANK('Test Summary'!B24),"",'Test Summary'!B24)</f>
        <v>RT08</v>
      </c>
      <c r="C20" s="21">
        <v>8.7959999999999994</v>
      </c>
      <c r="D20" s="21">
        <v>8.8000000000000007</v>
      </c>
      <c r="E20" s="21">
        <v>8.8000000000000007</v>
      </c>
      <c r="F20" s="21">
        <v>8.8040000000000003</v>
      </c>
      <c r="G20" s="21">
        <v>8.7989999999999995</v>
      </c>
      <c r="H20" s="108">
        <f t="shared" si="6"/>
        <v>8.7998000000000012</v>
      </c>
      <c r="I20" s="108">
        <f t="shared" si="0"/>
        <v>60.81846920337918</v>
      </c>
      <c r="J20" s="20">
        <v>6.0000000000000001E-3</v>
      </c>
      <c r="K20" s="21">
        <v>12.5085</v>
      </c>
      <c r="L20" s="50">
        <f>IF(ISBLANK('Test Summary'!H24),"",'Test Summary'!H24)</f>
        <v>0.25</v>
      </c>
      <c r="M20" s="50">
        <f>IF(ISBLANK('Test Summary'!J24),"",'Test Summary'!J24)</f>
        <v>-1</v>
      </c>
      <c r="N20" s="51">
        <f>IF(ISBLANK('Test Summary'!F24),"",'Test Summary'!F24)</f>
        <v>300</v>
      </c>
      <c r="O20" s="52">
        <f>IF(ISBLANK('Test Summary'!J24),"",L20*M20)</f>
        <v>-0.25</v>
      </c>
      <c r="P20" s="49">
        <f t="shared" si="1"/>
        <v>0.5</v>
      </c>
      <c r="Q20" s="49">
        <f t="shared" si="7"/>
        <v>0</v>
      </c>
      <c r="R20" s="49">
        <f t="shared" si="8"/>
        <v>3.127125E-2</v>
      </c>
      <c r="S20" s="49">
        <f t="shared" si="2"/>
        <v>-3.127125E-2</v>
      </c>
      <c r="T20" s="49">
        <f t="shared" si="3"/>
        <v>0.25</v>
      </c>
      <c r="U20" s="49">
        <f t="shared" si="4"/>
        <v>335.07205530833949</v>
      </c>
      <c r="V20" s="107" t="s">
        <v>186</v>
      </c>
      <c r="W20" s="107" t="s">
        <v>187</v>
      </c>
      <c r="X20" s="113">
        <v>45526</v>
      </c>
      <c r="Y20" s="113">
        <v>45526</v>
      </c>
      <c r="Z20" s="103">
        <v>1.6</v>
      </c>
      <c r="AA20" s="103">
        <v>0.7</v>
      </c>
      <c r="AB20" s="103">
        <v>300.3</v>
      </c>
      <c r="AC20" s="103">
        <v>299.10000000000002</v>
      </c>
      <c r="AD20" s="103">
        <v>22.2</v>
      </c>
      <c r="AE20" s="103">
        <v>21.6</v>
      </c>
      <c r="AF20" s="103">
        <v>45.9</v>
      </c>
      <c r="AG20" s="103">
        <v>34.200000000000003</v>
      </c>
      <c r="AH20" s="110">
        <v>186.6</v>
      </c>
      <c r="AI20" s="111">
        <v>2241</v>
      </c>
      <c r="AJ20" s="110">
        <v>-336.396906768316</v>
      </c>
      <c r="AK20" s="110">
        <v>333.74720384836297</v>
      </c>
      <c r="AL20" s="112">
        <f t="shared" si="5"/>
        <v>335.07205530833949</v>
      </c>
      <c r="AM20" s="110">
        <f>AK20-AJ20</f>
        <v>670.14411061667897</v>
      </c>
      <c r="AN20" s="110"/>
      <c r="AO20" s="107" t="s">
        <v>188</v>
      </c>
      <c r="AP20" s="107" t="s">
        <v>123</v>
      </c>
      <c r="AQ20" s="109">
        <v>2242</v>
      </c>
      <c r="AR20" s="69">
        <v>1</v>
      </c>
      <c r="AS20" s="138" t="s">
        <v>196</v>
      </c>
      <c r="AT20" s="138"/>
      <c r="AU20" s="138"/>
    </row>
    <row r="21" spans="1:47">
      <c r="A21" s="114" t="str">
        <f>IF(ISBLANK('Test Summary'!A25),"",'Test Summary'!A25)</f>
        <v>STS2024-33186</v>
      </c>
      <c r="B21" s="114" t="str">
        <f>IF(ISBLANK('Test Summary'!B25),"",'Test Summary'!B25)</f>
        <v>RT09</v>
      </c>
      <c r="C21" s="21"/>
      <c r="D21" s="21"/>
      <c r="E21" s="21"/>
      <c r="F21" s="21"/>
      <c r="G21" s="21"/>
      <c r="H21" s="108" t="e">
        <f t="shared" si="6"/>
        <v>#DIV/0!</v>
      </c>
      <c r="I21" s="108" t="e">
        <f t="shared" si="0"/>
        <v>#DIV/0!</v>
      </c>
      <c r="J21" s="20"/>
      <c r="K21" s="21"/>
      <c r="L21" s="50">
        <f>IF(ISBLANK('Test Summary'!H25),"",'Test Summary'!H25)</f>
        <v>0.25</v>
      </c>
      <c r="M21" s="50">
        <f>IF(ISBLANK('Test Summary'!J25),"",'Test Summary'!J25)</f>
        <v>-1</v>
      </c>
      <c r="N21" s="51">
        <f>IF(ISBLANK('Test Summary'!F25),"",'Test Summary'!F25)</f>
        <v>300</v>
      </c>
      <c r="O21" s="52">
        <f>IF(ISBLANK('Test Summary'!J25),"",L21*M21)</f>
        <v>-0.25</v>
      </c>
      <c r="P21" s="49">
        <f t="shared" si="1"/>
        <v>0.5</v>
      </c>
      <c r="Q21" s="49">
        <f t="shared" si="7"/>
        <v>0</v>
      </c>
      <c r="R21" s="49">
        <f t="shared" si="8"/>
        <v>0</v>
      </c>
      <c r="S21" s="49">
        <f t="shared" si="2"/>
        <v>0</v>
      </c>
      <c r="T21" s="49">
        <f t="shared" si="3"/>
        <v>0.25</v>
      </c>
      <c r="U21" s="49">
        <f t="shared" si="4"/>
        <v>0</v>
      </c>
      <c r="V21" s="107"/>
      <c r="W21" s="107"/>
      <c r="X21" s="113"/>
      <c r="Y21" s="113"/>
      <c r="Z21" s="103"/>
      <c r="AA21" s="103"/>
      <c r="AB21" s="103"/>
      <c r="AC21" s="103"/>
      <c r="AD21" s="103"/>
      <c r="AE21" s="103"/>
      <c r="AF21" s="103"/>
      <c r="AG21" s="103"/>
      <c r="AH21" s="110"/>
      <c r="AI21" s="111"/>
      <c r="AJ21" s="110"/>
      <c r="AK21" s="110"/>
      <c r="AL21" s="112">
        <f t="shared" si="5"/>
        <v>0</v>
      </c>
      <c r="AM21" s="110"/>
      <c r="AN21" s="110"/>
      <c r="AO21" s="107"/>
      <c r="AP21" s="107"/>
      <c r="AQ21" s="109"/>
      <c r="AR21" s="69"/>
      <c r="AS21" s="138" t="s">
        <v>197</v>
      </c>
      <c r="AT21" s="138"/>
      <c r="AU21" s="138"/>
    </row>
    <row r="22" spans="1:47">
      <c r="A22" s="114" t="str">
        <f>IF(ISBLANK('Test Summary'!A26),"",'Test Summary'!A26)</f>
        <v>STS2024-33187</v>
      </c>
      <c r="B22" s="114" t="str">
        <f>IF(ISBLANK('Test Summary'!B26),"",'Test Summary'!B26)</f>
        <v>RT10</v>
      </c>
      <c r="C22" s="21">
        <v>8.8019999999999996</v>
      </c>
      <c r="D22" s="21">
        <v>8.8019999999999996</v>
      </c>
      <c r="E22" s="21">
        <v>8.8019999999999996</v>
      </c>
      <c r="F22" s="21">
        <v>8.8030000000000008</v>
      </c>
      <c r="G22" s="21">
        <v>8.8019999999999996</v>
      </c>
      <c r="H22" s="108">
        <f t="shared" si="6"/>
        <v>8.8022000000000009</v>
      </c>
      <c r="I22" s="108">
        <f t="shared" si="0"/>
        <v>60.851648191712265</v>
      </c>
      <c r="J22" s="20">
        <v>3.0000000000000001E-3</v>
      </c>
      <c r="K22" s="21"/>
      <c r="L22" s="50">
        <f>IF(ISBLANK('Test Summary'!H26),"",'Test Summary'!H26)</f>
        <v>0.3</v>
      </c>
      <c r="M22" s="50">
        <f>IF(ISBLANK('Test Summary'!J26),"",'Test Summary'!J26)</f>
        <v>-1</v>
      </c>
      <c r="N22" s="51">
        <f>IF(ISBLANK('Test Summary'!F26),"",'Test Summary'!F26)</f>
        <v>300</v>
      </c>
      <c r="O22" s="52">
        <f>IF(ISBLANK('Test Summary'!J26),"",L22*M22)</f>
        <v>-0.3</v>
      </c>
      <c r="P22" s="49">
        <f t="shared" si="1"/>
        <v>0.6</v>
      </c>
      <c r="Q22" s="49">
        <f t="shared" si="7"/>
        <v>0</v>
      </c>
      <c r="R22" s="49">
        <f t="shared" si="8"/>
        <v>0</v>
      </c>
      <c r="S22" s="49">
        <f t="shared" si="2"/>
        <v>0</v>
      </c>
      <c r="T22" s="49">
        <f t="shared" si="3"/>
        <v>0.3</v>
      </c>
      <c r="U22" s="49">
        <f t="shared" si="4"/>
        <v>350.29035164445548</v>
      </c>
      <c r="V22" s="107" t="s">
        <v>186</v>
      </c>
      <c r="W22" s="107" t="s">
        <v>187</v>
      </c>
      <c r="X22" s="113">
        <v>45527</v>
      </c>
      <c r="Y22" s="113">
        <v>45527</v>
      </c>
      <c r="Z22" s="103">
        <v>1.5</v>
      </c>
      <c r="AA22" s="103">
        <v>1.1000000000000001</v>
      </c>
      <c r="AB22" s="103">
        <v>301.60000000000002</v>
      </c>
      <c r="AC22" s="103">
        <v>299.39999999999998</v>
      </c>
      <c r="AD22" s="103">
        <v>23</v>
      </c>
      <c r="AE22" s="103">
        <v>21.6</v>
      </c>
      <c r="AF22" s="103">
        <v>46.9</v>
      </c>
      <c r="AG22" s="103">
        <v>34.200000000000003</v>
      </c>
      <c r="AH22" s="110">
        <v>195.03</v>
      </c>
      <c r="AI22" s="111">
        <v>1013</v>
      </c>
      <c r="AJ22" s="110">
        <v>-351.80564708251097</v>
      </c>
      <c r="AK22" s="110">
        <v>348.7750562064</v>
      </c>
      <c r="AL22" s="112">
        <f t="shared" si="5"/>
        <v>350.29035164445548</v>
      </c>
      <c r="AM22" s="110">
        <f>AK22-AJ22</f>
        <v>700.58070328891097</v>
      </c>
      <c r="AN22" s="110"/>
      <c r="AO22" s="107" t="s">
        <v>188</v>
      </c>
      <c r="AP22" s="107" t="s">
        <v>123</v>
      </c>
      <c r="AQ22" s="109">
        <v>1014</v>
      </c>
      <c r="AR22" s="69">
        <v>1</v>
      </c>
      <c r="AS22" s="138" t="s">
        <v>198</v>
      </c>
      <c r="AT22" s="138"/>
      <c r="AU22" s="138"/>
    </row>
    <row r="23" spans="1:47">
      <c r="A23" s="114" t="str">
        <f>IF(ISBLANK('Test Summary'!A27),"",'Test Summary'!A27)</f>
        <v>STS2024-33188</v>
      </c>
      <c r="B23" s="114" t="str">
        <f>IF(ISBLANK('Test Summary'!B27),"",'Test Summary'!B27)</f>
        <v>RT11</v>
      </c>
      <c r="C23" s="21">
        <v>8.8030000000000008</v>
      </c>
      <c r="D23" s="21">
        <v>8.8040000000000003</v>
      </c>
      <c r="E23" s="21">
        <v>8.8040000000000003</v>
      </c>
      <c r="F23" s="21">
        <v>8.8070000000000004</v>
      </c>
      <c r="G23" s="21">
        <v>8.8049999999999997</v>
      </c>
      <c r="H23" s="108">
        <f t="shared" si="6"/>
        <v>8.8046000000000006</v>
      </c>
      <c r="I23" s="108">
        <f t="shared" si="0"/>
        <v>60.884836227832196</v>
      </c>
      <c r="J23" s="20">
        <v>0.01</v>
      </c>
      <c r="K23" s="21">
        <v>12.475</v>
      </c>
      <c r="L23" s="50">
        <f>IF(ISBLANK('Test Summary'!H27),"",'Test Summary'!H27)</f>
        <v>0.3</v>
      </c>
      <c r="M23" s="50">
        <f>IF(ISBLANK('Test Summary'!J27),"",'Test Summary'!J27)</f>
        <v>-1</v>
      </c>
      <c r="N23" s="51">
        <f>IF(ISBLANK('Test Summary'!F27),"",'Test Summary'!F27)</f>
        <v>300</v>
      </c>
      <c r="O23" s="52">
        <f>IF(ISBLANK('Test Summary'!J27),"",L23*M23)</f>
        <v>-0.3</v>
      </c>
      <c r="P23" s="49">
        <f t="shared" si="1"/>
        <v>0.6</v>
      </c>
      <c r="Q23" s="49">
        <f t="shared" si="7"/>
        <v>0</v>
      </c>
      <c r="R23" s="49">
        <f t="shared" si="8"/>
        <v>3.7425E-2</v>
      </c>
      <c r="S23" s="49">
        <f t="shared" si="2"/>
        <v>-3.7425E-2</v>
      </c>
      <c r="T23" s="49">
        <f t="shared" si="3"/>
        <v>0.3</v>
      </c>
      <c r="U23" s="49">
        <f t="shared" si="4"/>
        <v>350.5687701153405</v>
      </c>
      <c r="V23" s="107" t="s">
        <v>186</v>
      </c>
      <c r="W23" s="107" t="s">
        <v>187</v>
      </c>
      <c r="X23" s="113">
        <v>45517</v>
      </c>
      <c r="Y23" s="113">
        <v>45517</v>
      </c>
      <c r="Z23" s="103">
        <v>1.7</v>
      </c>
      <c r="AA23" s="103">
        <v>0.7</v>
      </c>
      <c r="AB23" s="103">
        <v>300.3</v>
      </c>
      <c r="AC23" s="103">
        <v>299.10000000000002</v>
      </c>
      <c r="AD23" s="103">
        <v>23.7</v>
      </c>
      <c r="AE23" s="103">
        <v>22.1</v>
      </c>
      <c r="AF23" s="103">
        <v>56.4</v>
      </c>
      <c r="AG23" s="103">
        <v>32</v>
      </c>
      <c r="AH23" s="110">
        <v>200.89</v>
      </c>
      <c r="AI23" s="111">
        <v>1013</v>
      </c>
      <c r="AJ23" s="110">
        <v>-352.87215026951998</v>
      </c>
      <c r="AK23" s="110">
        <v>348.26538996116102</v>
      </c>
      <c r="AL23" s="112">
        <f>0.5*(AK23-AJ23)</f>
        <v>350.5687701153405</v>
      </c>
      <c r="AM23" s="110">
        <f>AK23-AJ23</f>
        <v>701.137540230681</v>
      </c>
      <c r="AN23" s="110"/>
      <c r="AO23" s="107" t="s">
        <v>188</v>
      </c>
      <c r="AP23" s="107" t="s">
        <v>123</v>
      </c>
      <c r="AQ23" s="109">
        <v>1014</v>
      </c>
      <c r="AR23" s="69">
        <v>1</v>
      </c>
      <c r="AS23" s="138" t="s">
        <v>199</v>
      </c>
      <c r="AT23" s="138"/>
      <c r="AU23" s="138"/>
    </row>
    <row r="24" spans="1:47">
      <c r="A24" s="114" t="str">
        <f>IF(ISBLANK('Test Summary'!A28),"",'Test Summary'!A28)</f>
        <v>STS2024-33189</v>
      </c>
      <c r="B24" s="114" t="str">
        <f>IF(ISBLANK('Test Summary'!B28),"",'Test Summary'!B28)</f>
        <v>RT12</v>
      </c>
      <c r="C24" s="21"/>
      <c r="D24" s="21"/>
      <c r="E24" s="21"/>
      <c r="F24" s="21"/>
      <c r="G24" s="21"/>
      <c r="H24" s="108" t="e">
        <f t="shared" si="6"/>
        <v>#DIV/0!</v>
      </c>
      <c r="I24" s="108" t="e">
        <f t="shared" si="0"/>
        <v>#DIV/0!</v>
      </c>
      <c r="J24" s="20"/>
      <c r="K24" s="21"/>
      <c r="L24" s="50">
        <f>IF(ISBLANK('Test Summary'!H28),"",'Test Summary'!H28)</f>
        <v>0.3</v>
      </c>
      <c r="M24" s="50">
        <f>IF(ISBLANK('Test Summary'!J28),"",'Test Summary'!J28)</f>
        <v>-1</v>
      </c>
      <c r="N24" s="51">
        <f>IF(ISBLANK('Test Summary'!F28),"",'Test Summary'!F28)</f>
        <v>300</v>
      </c>
      <c r="O24" s="52">
        <f>IF(ISBLANK('Test Summary'!J28),"",L24*M24)</f>
        <v>-0.3</v>
      </c>
      <c r="P24" s="49">
        <f t="shared" si="1"/>
        <v>0.6</v>
      </c>
      <c r="Q24" s="49">
        <f t="shared" si="7"/>
        <v>0</v>
      </c>
      <c r="R24" s="49">
        <f t="shared" si="8"/>
        <v>0</v>
      </c>
      <c r="S24" s="49">
        <f t="shared" si="2"/>
        <v>0</v>
      </c>
      <c r="T24" s="49">
        <f t="shared" si="3"/>
        <v>0.3</v>
      </c>
      <c r="U24" s="49">
        <f t="shared" si="4"/>
        <v>0</v>
      </c>
      <c r="V24" s="107"/>
      <c r="W24" s="107"/>
      <c r="X24" s="113"/>
      <c r="Y24" s="113"/>
      <c r="Z24" s="103"/>
      <c r="AA24" s="103"/>
      <c r="AB24" s="103"/>
      <c r="AC24" s="103"/>
      <c r="AD24" s="103"/>
      <c r="AE24" s="103"/>
      <c r="AF24" s="103"/>
      <c r="AG24" s="103"/>
      <c r="AH24" s="110"/>
      <c r="AI24" s="111"/>
      <c r="AJ24" s="110"/>
      <c r="AK24" s="110"/>
      <c r="AL24" s="112">
        <f t="shared" ref="AL24" si="9">0.5*(AK24-AJ24)</f>
        <v>0</v>
      </c>
      <c r="AM24" s="110"/>
      <c r="AN24" s="110"/>
      <c r="AO24" s="107"/>
      <c r="AP24" s="107"/>
      <c r="AQ24" s="109"/>
      <c r="AR24" s="69"/>
      <c r="AS24" s="138" t="s">
        <v>200</v>
      </c>
      <c r="AT24" s="138"/>
      <c r="AU24" s="138"/>
    </row>
    <row r="25" spans="1:47">
      <c r="V25" s="73"/>
      <c r="W25" s="73"/>
    </row>
  </sheetData>
  <sheetProtection selectLockedCells="1"/>
  <mergeCells count="24">
    <mergeCell ref="C10:H10"/>
    <mergeCell ref="AS11:AU11"/>
    <mergeCell ref="AS12:AU12"/>
    <mergeCell ref="AS23:AU23"/>
    <mergeCell ref="AS24:AU24"/>
    <mergeCell ref="AS18:AU18"/>
    <mergeCell ref="AS19:AU19"/>
    <mergeCell ref="AS20:AU20"/>
    <mergeCell ref="AS21:AU21"/>
    <mergeCell ref="AS22:AU22"/>
    <mergeCell ref="AS13:AU13"/>
    <mergeCell ref="AS14:AU14"/>
    <mergeCell ref="AS15:AU15"/>
    <mergeCell ref="AS16:AU16"/>
    <mergeCell ref="AS17:AU17"/>
    <mergeCell ref="J11:J12"/>
    <mergeCell ref="M1:N1"/>
    <mergeCell ref="M2:N2"/>
    <mergeCell ref="M3:N3"/>
    <mergeCell ref="M4:N4"/>
    <mergeCell ref="J1:L1"/>
    <mergeCell ref="J2:L2"/>
    <mergeCell ref="J3:L3"/>
    <mergeCell ref="J4:L4"/>
  </mergeCells>
  <dataValidations count="1">
    <dataValidation type="list" allowBlank="1" showInputMessage="1" showErrorMessage="1" sqref="AR13:AR24" xr:uid="{00000000-0002-0000-0300-000000000000}">
      <formula1>"1, 2, 3"</formula1>
    </dataValidation>
  </dataValidations>
  <pageMargins left="0.23622047244094491" right="0.23622047244094491" top="0.74803149606299213" bottom="0.74803149606299213" header="0.31496062992125984" footer="0.31496062992125984"/>
  <pageSetup paperSize="9" orientation="portrait" r:id="rId1"/>
  <ignoredErrors>
    <ignoredError sqref="A13:B24 L13:N24 AL13 AL15:AM15 AL14:AM14 AL20:AM21 AL23:AM24 AL22 AL17:AM19 AL16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1000000}">
          <x14:formula1>
            <xm:f>'Test Summary'!$AC$17:$AC$28</xm:f>
          </x14:formula1>
          <xm:sqref>AP13:AP24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39997558519241921"/>
  </sheetPr>
  <dimension ref="A1:BB25"/>
  <sheetViews>
    <sheetView tabSelected="1" topLeftCell="A8" workbookViewId="0">
      <selection activeCell="D19" sqref="D19"/>
    </sheetView>
  </sheetViews>
  <sheetFormatPr defaultRowHeight="15"/>
  <cols>
    <col min="2" max="2" width="15.28515625" customWidth="1"/>
    <col min="3" max="3" width="10.140625" customWidth="1"/>
    <col min="4" max="4" width="17.85546875" customWidth="1"/>
    <col min="5" max="5" width="7.5703125" customWidth="1"/>
    <col min="6" max="6" width="9.5703125" bestFit="1" customWidth="1"/>
    <col min="7" max="7" width="10.42578125" bestFit="1" customWidth="1"/>
    <col min="8" max="8" width="8.140625" bestFit="1" customWidth="1"/>
    <col min="9" max="9" width="6.140625" bestFit="1" customWidth="1"/>
    <col min="10" max="11" width="8.5703125" customWidth="1"/>
    <col min="12" max="12" width="5.7109375" bestFit="1" customWidth="1"/>
    <col min="13" max="13" width="9.42578125" bestFit="1" customWidth="1"/>
    <col min="14" max="14" width="10.5703125" bestFit="1" customWidth="1"/>
    <col min="15" max="15" width="6.85546875" bestFit="1" customWidth="1"/>
    <col min="16" max="16" width="7" bestFit="1" customWidth="1"/>
    <col min="17" max="17" width="9.28515625" bestFit="1" customWidth="1"/>
    <col min="18" max="19" width="8.42578125" bestFit="1" customWidth="1"/>
    <col min="20" max="20" width="10.28515625" customWidth="1"/>
    <col min="21" max="21" width="15.7109375" customWidth="1"/>
    <col min="22" max="22" width="10.42578125" bestFit="1" customWidth="1"/>
    <col min="23" max="24" width="5.85546875" customWidth="1"/>
    <col min="25" max="27" width="6.7109375" customWidth="1"/>
    <col min="28" max="28" width="6.7109375" style="73" customWidth="1"/>
    <col min="29" max="29" width="8.7109375" style="73" bestFit="1" customWidth="1"/>
    <col min="30" max="30" width="8.5703125" style="73" customWidth="1"/>
    <col min="31" max="31" width="8.140625" style="73" bestFit="1" customWidth="1"/>
    <col min="32" max="32" width="10.28515625" style="73" bestFit="1" customWidth="1"/>
    <col min="33" max="33" width="10.85546875" style="73" bestFit="1" customWidth="1"/>
    <col min="34" max="34" width="11.140625" style="73" bestFit="1" customWidth="1"/>
    <col min="35" max="35" width="12.85546875" style="73" customWidth="1"/>
    <col min="36" max="36" width="8" bestFit="1" customWidth="1"/>
    <col min="37" max="37" width="24.7109375" bestFit="1" customWidth="1"/>
    <col min="38" max="38" width="13.42578125" customWidth="1"/>
    <col min="39" max="39" width="15.7109375" customWidth="1"/>
    <col min="40" max="42" width="10.42578125" bestFit="1" customWidth="1"/>
    <col min="43" max="43" width="10.85546875" style="73" bestFit="1" customWidth="1"/>
    <col min="44" max="44" width="17" style="73" bestFit="1" customWidth="1"/>
  </cols>
  <sheetData>
    <row r="1" spans="1:54">
      <c r="F1" s="4"/>
      <c r="G1" s="4"/>
      <c r="H1" s="28"/>
      <c r="J1" s="4"/>
      <c r="K1" s="4"/>
      <c r="L1" s="4"/>
      <c r="M1" s="130" t="s">
        <v>23</v>
      </c>
      <c r="N1" s="130"/>
      <c r="O1" s="130"/>
      <c r="P1" s="140" t="str">
        <f>IF(ISBLANK('Test Summary'!H1),"",'Test Summary'!H1)</f>
        <v>SQ2024-1450</v>
      </c>
      <c r="Q1" s="141"/>
      <c r="R1" s="141"/>
      <c r="S1" s="141"/>
      <c r="T1" s="142"/>
      <c r="U1" s="3"/>
      <c r="Y1" s="3"/>
      <c r="Z1" s="3"/>
      <c r="AA1" s="4"/>
      <c r="AB1" s="72"/>
      <c r="AC1" s="72"/>
      <c r="AD1" s="72"/>
      <c r="AE1" s="72"/>
      <c r="AF1" s="72"/>
      <c r="AG1" s="72"/>
      <c r="AH1" s="72"/>
      <c r="AM1" s="3"/>
      <c r="AQ1" s="72"/>
      <c r="AR1" s="72"/>
      <c r="AX1" s="74"/>
      <c r="AY1" s="74"/>
      <c r="AZ1" s="23"/>
      <c r="BA1" s="23"/>
      <c r="BB1" s="23"/>
    </row>
    <row r="2" spans="1:54">
      <c r="F2" s="4"/>
      <c r="G2" s="4"/>
      <c r="H2" s="28"/>
      <c r="J2" s="4"/>
      <c r="K2" s="4"/>
      <c r="L2" s="4"/>
      <c r="M2" s="130" t="s">
        <v>25</v>
      </c>
      <c r="N2" s="130"/>
      <c r="O2" s="130"/>
      <c r="P2" s="140" t="str">
        <f>IF(ISBLANK('Test Summary'!H2),"",'Test Summary'!H2)</f>
        <v>n/a</v>
      </c>
      <c r="Q2" s="141"/>
      <c r="R2" s="141"/>
      <c r="S2" s="141"/>
      <c r="T2" s="142"/>
      <c r="U2" s="3"/>
      <c r="Y2" s="3"/>
      <c r="Z2" s="3"/>
      <c r="AA2" s="4"/>
      <c r="AB2" s="72"/>
      <c r="AC2" s="72"/>
      <c r="AD2" s="72"/>
      <c r="AE2" s="72"/>
      <c r="AF2" s="72"/>
      <c r="AG2" s="72"/>
      <c r="AH2" s="72"/>
      <c r="AM2" s="3"/>
      <c r="AQ2" s="72"/>
      <c r="AR2" s="72"/>
      <c r="AX2" s="74"/>
      <c r="AY2" s="74"/>
      <c r="AZ2" s="23"/>
      <c r="BA2" s="23"/>
      <c r="BB2" s="23"/>
    </row>
    <row r="3" spans="1:54">
      <c r="F3" s="4"/>
      <c r="G3" s="4"/>
      <c r="H3" s="28"/>
      <c r="J3" s="4"/>
      <c r="K3" s="4"/>
      <c r="L3" s="4"/>
      <c r="M3" s="130" t="s">
        <v>27</v>
      </c>
      <c r="N3" s="130"/>
      <c r="O3" s="130"/>
      <c r="P3" s="140" t="str">
        <f>IF(ISBLANK('Test Summary'!H3),"",'Test Summary'!H3)</f>
        <v>N Barnard</v>
      </c>
      <c r="Q3" s="141"/>
      <c r="R3" s="141"/>
      <c r="S3" s="141"/>
      <c r="T3" s="142"/>
      <c r="U3" s="3"/>
      <c r="Y3" s="3"/>
      <c r="Z3" s="3"/>
      <c r="AA3" s="4"/>
      <c r="AB3" s="72"/>
      <c r="AC3" s="72"/>
      <c r="AD3" s="72"/>
      <c r="AE3" s="72"/>
      <c r="AF3" s="72"/>
      <c r="AG3" s="72"/>
      <c r="AH3" s="72"/>
      <c r="AM3" s="3"/>
      <c r="AQ3" s="72"/>
      <c r="AR3" s="72"/>
      <c r="AZ3" s="23"/>
      <c r="BA3" s="23"/>
      <c r="BB3" s="23"/>
    </row>
    <row r="4" spans="1:54">
      <c r="F4" s="4"/>
      <c r="G4" s="4"/>
      <c r="H4" s="28"/>
      <c r="J4" s="4"/>
      <c r="K4" s="4"/>
      <c r="L4" s="4"/>
      <c r="M4" s="146" t="s">
        <v>29</v>
      </c>
      <c r="N4" s="147"/>
      <c r="O4" s="148"/>
      <c r="P4" s="140" t="str">
        <f>IF(ISBLANK('Test Summary'!H4),"",'Test Summary'!H4)</f>
        <v>A Jones</v>
      </c>
      <c r="Q4" s="141"/>
      <c r="R4" s="141"/>
      <c r="S4" s="141"/>
      <c r="T4" s="142"/>
      <c r="U4" s="3"/>
      <c r="Y4" s="3"/>
      <c r="Z4" s="3"/>
      <c r="AA4" s="4"/>
      <c r="AB4" s="72"/>
      <c r="AC4" s="72"/>
      <c r="AD4" s="72"/>
      <c r="AE4" s="72"/>
      <c r="AF4" s="72"/>
      <c r="AG4" s="72"/>
      <c r="AH4" s="72"/>
      <c r="AM4" s="3"/>
      <c r="AQ4" s="72"/>
      <c r="AR4" s="72"/>
      <c r="AZ4" s="23"/>
      <c r="BA4" s="23"/>
      <c r="BB4" s="23"/>
    </row>
    <row r="5" spans="1:54">
      <c r="A5" s="1" t="s">
        <v>0</v>
      </c>
      <c r="F5" s="4"/>
      <c r="G5" s="4"/>
      <c r="H5" s="28"/>
      <c r="J5" s="4"/>
      <c r="K5" s="4"/>
      <c r="L5" s="4"/>
      <c r="M5" s="4"/>
      <c r="N5" s="4"/>
      <c r="O5" s="4"/>
      <c r="P5" s="4"/>
      <c r="Q5" s="4"/>
      <c r="R5" s="4"/>
      <c r="T5" s="3"/>
      <c r="U5" s="3"/>
      <c r="Y5" s="3"/>
      <c r="Z5" s="3"/>
      <c r="AA5" s="4"/>
      <c r="AB5" s="72"/>
      <c r="AC5" s="72"/>
      <c r="AD5" s="72"/>
      <c r="AE5" s="72"/>
      <c r="AF5" s="72"/>
      <c r="AG5" s="72"/>
      <c r="AH5" s="72"/>
      <c r="AM5" s="3"/>
      <c r="AQ5" s="72"/>
      <c r="AR5" s="72"/>
      <c r="AZ5" s="23"/>
      <c r="BA5" s="23"/>
      <c r="BB5" s="23"/>
    </row>
    <row r="6" spans="1:54" ht="15" customHeight="1">
      <c r="F6" s="101"/>
      <c r="G6" s="4"/>
      <c r="H6" s="28"/>
      <c r="J6" s="4"/>
      <c r="K6" s="4"/>
      <c r="L6" s="4"/>
      <c r="M6" s="4"/>
      <c r="N6" s="4"/>
      <c r="O6" s="4"/>
      <c r="P6" s="4"/>
      <c r="Q6" s="4"/>
      <c r="R6" s="4"/>
      <c r="T6" s="3"/>
      <c r="U6" s="3"/>
      <c r="Y6" s="3"/>
      <c r="Z6" s="3"/>
      <c r="AA6" s="4"/>
      <c r="AB6" s="72"/>
      <c r="AC6" s="72"/>
      <c r="AD6" s="72"/>
      <c r="AE6" s="72"/>
      <c r="AF6" s="72"/>
      <c r="AG6" s="72"/>
      <c r="AH6" s="72"/>
      <c r="AM6" s="3"/>
      <c r="AQ6" s="72"/>
      <c r="AR6" s="72"/>
      <c r="AZ6" s="23"/>
      <c r="BA6" s="23"/>
      <c r="BB6" s="23"/>
    </row>
    <row r="7" spans="1:54" ht="18.75">
      <c r="A7" s="2" t="s">
        <v>2</v>
      </c>
      <c r="F7" s="101"/>
      <c r="G7" s="4"/>
      <c r="H7" s="28"/>
      <c r="J7" s="4"/>
      <c r="K7" s="4"/>
      <c r="L7" s="4"/>
      <c r="N7" s="4"/>
      <c r="O7" s="4"/>
      <c r="P7" s="4"/>
      <c r="Q7" s="4"/>
      <c r="R7" s="4"/>
      <c r="T7" s="3"/>
      <c r="U7" s="3"/>
      <c r="Y7" s="3"/>
      <c r="Z7" s="3"/>
      <c r="AA7" s="4"/>
      <c r="AB7" s="75"/>
      <c r="AC7" s="75"/>
      <c r="AD7" s="75"/>
      <c r="AE7" s="75"/>
      <c r="AF7" s="75"/>
      <c r="AG7" s="75"/>
      <c r="AH7" s="75"/>
      <c r="AI7" s="75"/>
      <c r="AM7" s="3"/>
      <c r="AQ7" s="75"/>
      <c r="AR7" s="75"/>
      <c r="AZ7" s="23"/>
      <c r="BA7" s="23"/>
      <c r="BB7" s="23"/>
    </row>
    <row r="8" spans="1:54" ht="18.75">
      <c r="A8" s="2" t="s">
        <v>4</v>
      </c>
      <c r="F8" s="101"/>
      <c r="G8" s="4"/>
      <c r="H8" s="28"/>
      <c r="J8" s="4"/>
      <c r="K8" s="4"/>
      <c r="L8" s="4"/>
      <c r="M8" s="4"/>
      <c r="N8" s="4"/>
      <c r="O8" s="4"/>
      <c r="P8" s="4"/>
      <c r="Q8" s="4"/>
      <c r="R8" s="4"/>
      <c r="T8" s="3"/>
      <c r="U8" s="3"/>
      <c r="Y8" s="75"/>
      <c r="Z8" s="75"/>
      <c r="AA8" s="75"/>
      <c r="AB8" s="75"/>
      <c r="AC8" s="75"/>
      <c r="AD8" s="75"/>
      <c r="AE8" s="75"/>
      <c r="AF8" s="75"/>
      <c r="AJ8" s="76"/>
      <c r="AM8" s="3"/>
      <c r="AZ8" s="23"/>
      <c r="BA8" s="23"/>
      <c r="BB8" s="23"/>
    </row>
    <row r="9" spans="1:54">
      <c r="A9" s="77" t="s">
        <v>201</v>
      </c>
      <c r="F9" s="78"/>
      <c r="G9" s="4"/>
      <c r="H9" s="28"/>
      <c r="J9" s="4"/>
      <c r="K9" s="4"/>
      <c r="L9" s="4"/>
      <c r="M9" s="4"/>
      <c r="N9" s="4"/>
      <c r="O9" s="4"/>
      <c r="P9" s="4"/>
      <c r="Q9" s="4"/>
      <c r="R9" s="4"/>
      <c r="T9" s="3"/>
      <c r="U9" s="3"/>
      <c r="Y9" s="3"/>
      <c r="Z9" s="3"/>
      <c r="AA9" s="76"/>
      <c r="AB9" s="79"/>
      <c r="AC9" s="79"/>
      <c r="AD9" s="79"/>
      <c r="AE9" s="79"/>
      <c r="AF9" s="79"/>
      <c r="AG9" s="79"/>
      <c r="AH9" s="79"/>
      <c r="AI9" s="79"/>
      <c r="AJ9" s="76"/>
      <c r="AM9" s="3"/>
      <c r="AQ9" s="79"/>
      <c r="AR9" s="79"/>
      <c r="AZ9" s="23"/>
      <c r="BA9" s="23"/>
      <c r="BB9" s="23"/>
    </row>
    <row r="11" spans="1:54">
      <c r="B11" s="80" t="s">
        <v>48</v>
      </c>
      <c r="C11" s="80" t="s">
        <v>202</v>
      </c>
      <c r="D11" s="81" t="s">
        <v>57</v>
      </c>
      <c r="E11" s="81" t="s">
        <v>203</v>
      </c>
      <c r="F11" s="82" t="s">
        <v>204</v>
      </c>
      <c r="G11" s="80" t="s">
        <v>52</v>
      </c>
      <c r="H11" s="80" t="s">
        <v>205</v>
      </c>
      <c r="I11" s="80" t="s">
        <v>206</v>
      </c>
      <c r="J11" s="80" t="s">
        <v>207</v>
      </c>
      <c r="K11" s="80" t="s">
        <v>208</v>
      </c>
      <c r="L11" s="80" t="s">
        <v>209</v>
      </c>
      <c r="M11" s="80" t="s">
        <v>210</v>
      </c>
      <c r="N11" s="80" t="s">
        <v>68</v>
      </c>
      <c r="O11" s="80" t="s">
        <v>55</v>
      </c>
      <c r="P11" s="80" t="s">
        <v>53</v>
      </c>
      <c r="Q11" s="80" t="s">
        <v>53</v>
      </c>
      <c r="R11" s="80" t="s">
        <v>211</v>
      </c>
      <c r="S11" s="80" t="s">
        <v>212</v>
      </c>
      <c r="U11" s="80" t="s">
        <v>48</v>
      </c>
      <c r="V11" s="80" t="s">
        <v>202</v>
      </c>
      <c r="W11" s="149" t="s">
        <v>213</v>
      </c>
      <c r="X11" s="150"/>
      <c r="Y11" s="143" t="s">
        <v>214</v>
      </c>
      <c r="Z11" s="145"/>
      <c r="AA11" s="143" t="s">
        <v>215</v>
      </c>
      <c r="AB11" s="145"/>
      <c r="AC11" s="102" t="s">
        <v>216</v>
      </c>
      <c r="AD11" s="143" t="s">
        <v>217</v>
      </c>
      <c r="AE11" s="144"/>
      <c r="AF11" s="145"/>
      <c r="AG11" s="80" t="s">
        <v>35</v>
      </c>
      <c r="AH11" s="80" t="s">
        <v>218</v>
      </c>
      <c r="AI11" s="80" t="s">
        <v>219</v>
      </c>
      <c r="AJ11" s="80" t="s">
        <v>57</v>
      </c>
      <c r="AK11" s="80" t="s">
        <v>220</v>
      </c>
      <c r="AM11" s="80" t="s">
        <v>48</v>
      </c>
      <c r="AN11" s="80" t="s">
        <v>202</v>
      </c>
      <c r="AO11" s="80" t="s">
        <v>55</v>
      </c>
      <c r="AP11" s="80" t="s">
        <v>209</v>
      </c>
      <c r="AQ11" s="80" t="s">
        <v>221</v>
      </c>
      <c r="AR11" s="80" t="s">
        <v>152</v>
      </c>
    </row>
    <row r="12" spans="1:54">
      <c r="B12" s="83" t="s">
        <v>51</v>
      </c>
      <c r="C12" s="83" t="s">
        <v>51</v>
      </c>
      <c r="D12" s="84" t="s">
        <v>65</v>
      </c>
      <c r="E12" s="84"/>
      <c r="F12" s="83"/>
      <c r="G12" s="83" t="s">
        <v>57</v>
      </c>
      <c r="H12" s="83" t="s">
        <v>222</v>
      </c>
      <c r="I12" s="83" t="s">
        <v>223</v>
      </c>
      <c r="J12" s="83" t="s">
        <v>224</v>
      </c>
      <c r="K12" s="83" t="s">
        <v>55</v>
      </c>
      <c r="L12" s="83" t="s">
        <v>67</v>
      </c>
      <c r="M12" s="83" t="s">
        <v>69</v>
      </c>
      <c r="N12" s="83"/>
      <c r="O12" s="83" t="s">
        <v>66</v>
      </c>
      <c r="P12" s="83" t="s">
        <v>176</v>
      </c>
      <c r="Q12" s="83" t="s">
        <v>177</v>
      </c>
      <c r="R12" s="83" t="s">
        <v>31</v>
      </c>
      <c r="S12" s="83" t="s">
        <v>31</v>
      </c>
      <c r="U12" s="83" t="s">
        <v>51</v>
      </c>
      <c r="V12" s="83" t="s">
        <v>51</v>
      </c>
      <c r="W12" s="85" t="s">
        <v>225</v>
      </c>
      <c r="X12" s="86" t="s">
        <v>226</v>
      </c>
      <c r="Y12" s="85" t="s">
        <v>225</v>
      </c>
      <c r="Z12" s="86" t="s">
        <v>226</v>
      </c>
      <c r="AA12" s="85" t="s">
        <v>225</v>
      </c>
      <c r="AB12" s="86" t="s">
        <v>226</v>
      </c>
      <c r="AC12" s="86" t="s">
        <v>227</v>
      </c>
      <c r="AD12" s="86" t="s">
        <v>228</v>
      </c>
      <c r="AE12" s="86" t="s">
        <v>229</v>
      </c>
      <c r="AF12" s="86" t="s">
        <v>230</v>
      </c>
      <c r="AG12" s="83" t="s">
        <v>71</v>
      </c>
      <c r="AH12" s="83" t="s">
        <v>231</v>
      </c>
      <c r="AI12" s="83" t="s">
        <v>232</v>
      </c>
      <c r="AJ12" s="83" t="s">
        <v>185</v>
      </c>
      <c r="AK12" s="83"/>
      <c r="AM12" s="83" t="s">
        <v>51</v>
      </c>
      <c r="AN12" s="83" t="s">
        <v>51</v>
      </c>
      <c r="AO12" s="83" t="s">
        <v>233</v>
      </c>
      <c r="AP12" s="83" t="s">
        <v>67</v>
      </c>
      <c r="AQ12" s="83" t="s">
        <v>71</v>
      </c>
      <c r="AR12" s="83" t="s">
        <v>234</v>
      </c>
    </row>
    <row r="13" spans="1:54">
      <c r="B13" s="87" t="s">
        <v>235</v>
      </c>
      <c r="C13" s="87" t="s">
        <v>235</v>
      </c>
      <c r="D13" s="88"/>
      <c r="E13" s="88" t="s">
        <v>236</v>
      </c>
      <c r="F13" s="87" t="s">
        <v>237</v>
      </c>
      <c r="G13" s="87" t="s">
        <v>238</v>
      </c>
      <c r="H13" s="87" t="s">
        <v>179</v>
      </c>
      <c r="I13" s="87" t="s">
        <v>179</v>
      </c>
      <c r="J13" s="87" t="s">
        <v>74</v>
      </c>
      <c r="K13" s="87" t="s">
        <v>74</v>
      </c>
      <c r="L13" s="87"/>
      <c r="M13" s="87"/>
      <c r="N13" s="87"/>
      <c r="O13" s="87" t="s">
        <v>75</v>
      </c>
      <c r="P13" s="87"/>
      <c r="Q13" s="87"/>
      <c r="R13" s="87"/>
      <c r="S13" s="87"/>
      <c r="U13" s="87" t="s">
        <v>235</v>
      </c>
      <c r="V13" s="87" t="s">
        <v>235</v>
      </c>
      <c r="W13" s="87" t="s">
        <v>73</v>
      </c>
      <c r="X13" s="88" t="s">
        <v>73</v>
      </c>
      <c r="Y13" s="89" t="s">
        <v>73</v>
      </c>
      <c r="Z13" s="90" t="s">
        <v>73</v>
      </c>
      <c r="AA13" s="89" t="s">
        <v>74</v>
      </c>
      <c r="AB13" s="89" t="s">
        <v>74</v>
      </c>
      <c r="AC13" s="89" t="s">
        <v>180</v>
      </c>
      <c r="AD13" s="89" t="s">
        <v>239</v>
      </c>
      <c r="AE13" s="89" t="s">
        <v>240</v>
      </c>
      <c r="AF13" s="89" t="s">
        <v>74</v>
      </c>
      <c r="AG13" s="87" t="s">
        <v>36</v>
      </c>
      <c r="AH13" s="87"/>
      <c r="AI13" s="87"/>
      <c r="AJ13" s="87"/>
      <c r="AK13" s="87"/>
      <c r="AM13" s="87" t="s">
        <v>235</v>
      </c>
      <c r="AN13" s="87" t="s">
        <v>235</v>
      </c>
      <c r="AO13" s="87" t="s">
        <v>74</v>
      </c>
      <c r="AP13" s="87"/>
      <c r="AQ13" s="87" t="s">
        <v>241</v>
      </c>
      <c r="AR13" s="87" t="s">
        <v>242</v>
      </c>
    </row>
    <row r="14" spans="1:54">
      <c r="B14" s="91" t="str">
        <f>'Data entry'!A13</f>
        <v>STS2024-33178</v>
      </c>
      <c r="C14" s="92" t="str">
        <f>'Data entry'!B13</f>
        <v>RT01</v>
      </c>
      <c r="D14" s="92" t="str">
        <f>'Test Summary'!G17</f>
        <v>ISO 12106:2017</v>
      </c>
      <c r="E14" s="93">
        <f>ROUND('Data entry'!I13, 3)</f>
        <v>60.777000000000001</v>
      </c>
      <c r="F14" s="93">
        <f>ROUND('Data entry'!H13, 3)</f>
        <v>8.7970000000000006</v>
      </c>
      <c r="G14" s="94">
        <f>'Test Summary'!F17</f>
        <v>300</v>
      </c>
      <c r="H14" s="98">
        <f>ROUND('Data entry'!Z13, 1)</f>
        <v>4.5</v>
      </c>
      <c r="I14" s="98">
        <f>ROUND('Data entry'!AA13, 1)</f>
        <v>0.9</v>
      </c>
      <c r="J14" s="93">
        <f>ROUND('Data entry'!P13, 3)</f>
        <v>0.3</v>
      </c>
      <c r="K14" s="93">
        <f>ROUND('Data entry'!Q13, 3)</f>
        <v>0</v>
      </c>
      <c r="L14" s="93">
        <f>ROUND('Test Summary'!J17, 2)</f>
        <v>-1</v>
      </c>
      <c r="M14" s="92" t="str">
        <f>'Test Summary'!L17</f>
        <v>tension</v>
      </c>
      <c r="N14" s="96" t="str">
        <f>'Test Summary'!K17</f>
        <v>Sawtooth</v>
      </c>
      <c r="O14" s="93">
        <f>'Test Summary'!I17</f>
        <v>0.1</v>
      </c>
      <c r="P14" s="92" t="str">
        <f>'Data entry'!V13</f>
        <v>SH-21</v>
      </c>
      <c r="Q14" s="92" t="str">
        <f>'Data entry'!W13</f>
        <v>KP/CM</v>
      </c>
      <c r="R14" s="97">
        <f>'Data entry'!X13</f>
        <v>45537</v>
      </c>
      <c r="S14" s="97">
        <f>'Data entry'!Y13</f>
        <v>45539</v>
      </c>
      <c r="U14" s="92" t="str">
        <f>'Data entry'!A13</f>
        <v>STS2024-33178</v>
      </c>
      <c r="V14" s="92" t="str">
        <f>'Data entry'!B13</f>
        <v>RT01</v>
      </c>
      <c r="W14" s="98">
        <f>ROUND('Data entry'!AB13, 1)</f>
        <v>301.10000000000002</v>
      </c>
      <c r="X14" s="98">
        <f>ROUND('Data entry'!AC13, 1)</f>
        <v>298.60000000000002</v>
      </c>
      <c r="Y14" s="98">
        <f>ROUND('Data entry'!AD13, 1)</f>
        <v>23</v>
      </c>
      <c r="Z14" s="98">
        <f>ROUND('Data entry'!AE13, 1)</f>
        <v>21.2</v>
      </c>
      <c r="AA14" s="98">
        <f>ROUND('Data entry'!AF13, 1)</f>
        <v>61.4</v>
      </c>
      <c r="AB14" s="98">
        <f>ROUND('Data entry'!AG13, 1)</f>
        <v>34</v>
      </c>
      <c r="AC14" s="99">
        <f>'Data entry'!AH13</f>
        <v>201.33</v>
      </c>
      <c r="AD14" s="105">
        <f>'Data entry'!AI13</f>
        <v>23095</v>
      </c>
      <c r="AE14" s="99">
        <f>'Data entry'!AM13</f>
        <v>558.172807094738</v>
      </c>
      <c r="AF14" s="106">
        <f>'Data entry'!AN13</f>
        <v>0</v>
      </c>
      <c r="AG14" s="104">
        <f>ROUND('Data entry'!AQ13, 0)</f>
        <v>23096</v>
      </c>
      <c r="AH14" s="92" t="str">
        <f>'Data entry'!AO13</f>
        <v>No</v>
      </c>
      <c r="AI14" s="92" t="str">
        <f>'Data entry'!AP13</f>
        <v xml:space="preserve"> None</v>
      </c>
      <c r="AJ14" s="92">
        <f>'Data entry'!AR13</f>
        <v>1</v>
      </c>
      <c r="AK14" s="100" t="str">
        <f>'Data entry'!AS13</f>
        <v>Stop at 23,096 cycles then tensile test @ 20°C. Total Length 76.735mm. Coax outside limit.</v>
      </c>
      <c r="AM14" s="92" t="str">
        <f>'Data entry'!A13</f>
        <v>STS2024-33178</v>
      </c>
      <c r="AN14" s="92" t="str">
        <f>'Data entry'!B13</f>
        <v>RT01</v>
      </c>
      <c r="AO14" s="93">
        <f>'Data entry'!T13</f>
        <v>0.15</v>
      </c>
      <c r="AP14" s="98">
        <f>'Test Summary'!J17</f>
        <v>-1</v>
      </c>
      <c r="AQ14" s="104">
        <f>'Data entry'!AQ13</f>
        <v>23096</v>
      </c>
      <c r="AR14" s="95">
        <f>'Data entry'!AL13</f>
        <v>279.086403547369</v>
      </c>
    </row>
    <row r="15" spans="1:54">
      <c r="B15" s="91" t="str">
        <f>'Data entry'!A14</f>
        <v>STS2024-33179</v>
      </c>
      <c r="C15" s="92" t="str">
        <f>'Data entry'!B14</f>
        <v>RT02</v>
      </c>
      <c r="D15" s="92" t="str">
        <f>'Test Summary'!G18</f>
        <v>ISO 12106:2017</v>
      </c>
      <c r="E15" s="93">
        <f>ROUND('Data entry'!I14, 3)</f>
        <v>60.856999999999999</v>
      </c>
      <c r="F15" s="93">
        <f>ROUND('Data entry'!H14, 3)</f>
        <v>8.8030000000000008</v>
      </c>
      <c r="G15" s="94">
        <f>'Test Summary'!F18</f>
        <v>300</v>
      </c>
      <c r="H15" s="98">
        <f>ROUND('Data entry'!Z14, 1)</f>
        <v>1.7</v>
      </c>
      <c r="I15" s="98">
        <f>ROUND('Data entry'!AA14, 1)</f>
        <v>0.7</v>
      </c>
      <c r="J15" s="93">
        <f>ROUND('Data entry'!P14, 3)</f>
        <v>0.3</v>
      </c>
      <c r="K15" s="93">
        <f>ROUND('Data entry'!Q14, 3)</f>
        <v>0</v>
      </c>
      <c r="L15" s="93">
        <f>ROUND('Test Summary'!J18, 2)</f>
        <v>-1</v>
      </c>
      <c r="M15" s="92" t="str">
        <f>'Test Summary'!L18</f>
        <v>tension</v>
      </c>
      <c r="N15" s="96" t="str">
        <f>'Test Summary'!K18</f>
        <v>Sawtooth</v>
      </c>
      <c r="O15" s="93">
        <f>'Test Summary'!I18</f>
        <v>0.1</v>
      </c>
      <c r="P15" s="92" t="str">
        <f>'Data entry'!V14</f>
        <v>SH-21</v>
      </c>
      <c r="Q15" s="92" t="str">
        <f>'Data entry'!W14</f>
        <v>KP/CM</v>
      </c>
      <c r="R15" s="97">
        <f>'Data entry'!X14</f>
        <v>45523</v>
      </c>
      <c r="S15" s="97">
        <f>'Data entry'!Y14</f>
        <v>45525</v>
      </c>
      <c r="U15" s="92" t="str">
        <f>'Data entry'!A14</f>
        <v>STS2024-33179</v>
      </c>
      <c r="V15" s="92" t="str">
        <f>'Data entry'!B14</f>
        <v>RT02</v>
      </c>
      <c r="W15" s="98">
        <f>ROUND('Data entry'!AB14, 1)</f>
        <v>300.2</v>
      </c>
      <c r="X15" s="98">
        <f>ROUND('Data entry'!AC14, 1)</f>
        <v>299.7</v>
      </c>
      <c r="Y15" s="98">
        <f>ROUND('Data entry'!AD14, 1)</f>
        <v>23</v>
      </c>
      <c r="Z15" s="98">
        <f>ROUND('Data entry'!AE14, 1)</f>
        <v>21.2</v>
      </c>
      <c r="AA15" s="98">
        <f>ROUND('Data entry'!AF14, 1)</f>
        <v>58.2</v>
      </c>
      <c r="AB15" s="98">
        <f>ROUND('Data entry'!AG14, 1)</f>
        <v>32.5</v>
      </c>
      <c r="AC15" s="99">
        <f>'Data entry'!AH14</f>
        <v>191.08</v>
      </c>
      <c r="AD15" s="105">
        <f>'Data entry'!AI14</f>
        <v>23095</v>
      </c>
      <c r="AE15" s="99">
        <f>'Data entry'!AM14</f>
        <v>545.49307024325901</v>
      </c>
      <c r="AF15" s="106">
        <f>'Data entry'!AN14</f>
        <v>0</v>
      </c>
      <c r="AG15" s="104">
        <f>ROUND('Data entry'!AQ14, 0)</f>
        <v>23096</v>
      </c>
      <c r="AH15" s="92" t="str">
        <f>'Data entry'!AO14</f>
        <v>No</v>
      </c>
      <c r="AI15" s="92" t="str">
        <f>'Data entry'!AP14</f>
        <v xml:space="preserve"> None</v>
      </c>
      <c r="AJ15" s="92">
        <f>'Data entry'!AR14</f>
        <v>1</v>
      </c>
      <c r="AK15" s="100" t="str">
        <f>'Data entry'!AS14</f>
        <v>Stop at 23,096 cycles then tensile test @ 300°C. Total Length 77.090mm</v>
      </c>
      <c r="AM15" s="92" t="str">
        <f>'Data entry'!A14</f>
        <v>STS2024-33179</v>
      </c>
      <c r="AN15" s="92" t="str">
        <f>'Data entry'!B14</f>
        <v>RT02</v>
      </c>
      <c r="AO15" s="93">
        <f>'Data entry'!T14</f>
        <v>0.15</v>
      </c>
      <c r="AP15" s="98">
        <f>'Test Summary'!J18</f>
        <v>-1</v>
      </c>
      <c r="AQ15" s="104">
        <f>'Data entry'!AQ14</f>
        <v>23096</v>
      </c>
      <c r="AR15" s="95">
        <f>'Data entry'!AL14</f>
        <v>272.74653512162951</v>
      </c>
    </row>
    <row r="16" spans="1:54">
      <c r="B16" s="91" t="str">
        <f>'Data entry'!A15</f>
        <v>STS2024-33180</v>
      </c>
      <c r="C16" s="92" t="str">
        <f>'Data entry'!B15</f>
        <v>RT03</v>
      </c>
      <c r="D16" s="92" t="str">
        <f>'Test Summary'!G19</f>
        <v>ISO 12106:2017</v>
      </c>
      <c r="E16" s="93">
        <f>ROUND('Data entry'!I15, 3)</f>
        <v>60.795999999999999</v>
      </c>
      <c r="F16" s="93">
        <f>ROUND('Data entry'!H15, 3)</f>
        <v>8.798</v>
      </c>
      <c r="G16" s="94">
        <f>'Test Summary'!F19</f>
        <v>300</v>
      </c>
      <c r="H16" s="98">
        <f>ROUND('Data entry'!Z15, 1)</f>
        <v>0</v>
      </c>
      <c r="I16" s="98">
        <f>ROUND('Data entry'!AA15, 1)</f>
        <v>0</v>
      </c>
      <c r="J16" s="93">
        <f>ROUND('Data entry'!P15, 3)</f>
        <v>0.3</v>
      </c>
      <c r="K16" s="93">
        <f>ROUND('Data entry'!Q15, 3)</f>
        <v>0</v>
      </c>
      <c r="L16" s="93">
        <f>ROUND('Test Summary'!J19, 2)</f>
        <v>-1</v>
      </c>
      <c r="M16" s="92" t="str">
        <f>'Test Summary'!L19</f>
        <v>tension</v>
      </c>
      <c r="N16" s="96" t="str">
        <f>'Test Summary'!K19</f>
        <v>Sawtooth</v>
      </c>
      <c r="O16" s="93">
        <f>'Test Summary'!I19</f>
        <v>0.1</v>
      </c>
      <c r="P16" s="92" t="str">
        <f>'Data entry'!V15</f>
        <v>SH-21</v>
      </c>
      <c r="Q16" s="92">
        <f>'Data entry'!W15</f>
        <v>0</v>
      </c>
      <c r="R16" s="97">
        <f>'Data entry'!X15</f>
        <v>0</v>
      </c>
      <c r="S16" s="97">
        <f>'Data entry'!Y15</f>
        <v>0</v>
      </c>
      <c r="U16" s="92" t="str">
        <f>'Data entry'!A15</f>
        <v>STS2024-33180</v>
      </c>
      <c r="V16" s="92" t="str">
        <f>'Data entry'!B15</f>
        <v>RT03</v>
      </c>
      <c r="W16" s="98">
        <f>ROUND('Data entry'!AB15, 1)</f>
        <v>0</v>
      </c>
      <c r="X16" s="98">
        <f>ROUND('Data entry'!AC15, 1)</f>
        <v>0</v>
      </c>
      <c r="Y16" s="98">
        <f>ROUND('Data entry'!AD15, 1)</f>
        <v>0</v>
      </c>
      <c r="Z16" s="98">
        <f>ROUND('Data entry'!AE15, 1)</f>
        <v>0</v>
      </c>
      <c r="AA16" s="98">
        <f>ROUND('Data entry'!AF15, 1)</f>
        <v>0</v>
      </c>
      <c r="AB16" s="98">
        <f>ROUND('Data entry'!AG15, 1)</f>
        <v>0</v>
      </c>
      <c r="AC16" s="99">
        <f>'Data entry'!AH15</f>
        <v>0</v>
      </c>
      <c r="AD16" s="105">
        <f>'Data entry'!AI15</f>
        <v>0</v>
      </c>
      <c r="AE16" s="99">
        <f>'Data entry'!AM15</f>
        <v>0</v>
      </c>
      <c r="AF16" s="106">
        <f>'Data entry'!AN15</f>
        <v>0</v>
      </c>
      <c r="AG16" s="104">
        <f>ROUND('Data entry'!AQ15, 0)</f>
        <v>0</v>
      </c>
      <c r="AH16" s="92">
        <f>'Data entry'!AO15</f>
        <v>0</v>
      </c>
      <c r="AI16" s="92">
        <f>'Data entry'!AP15</f>
        <v>0</v>
      </c>
      <c r="AJ16" s="92">
        <f>'Data entry'!AR15</f>
        <v>0</v>
      </c>
      <c r="AK16" s="100" t="str">
        <f>'Data entry'!AS15</f>
        <v>Stop at 23,096 cycles then tensile test @ 550°C</v>
      </c>
      <c r="AM16" s="92" t="str">
        <f>'Data entry'!A15</f>
        <v>STS2024-33180</v>
      </c>
      <c r="AN16" s="92" t="str">
        <f>'Data entry'!B15</f>
        <v>RT03</v>
      </c>
      <c r="AO16" s="93">
        <f>'Data entry'!T15</f>
        <v>0.15</v>
      </c>
      <c r="AP16" s="98">
        <f>'Test Summary'!J19</f>
        <v>-1</v>
      </c>
      <c r="AQ16" s="104">
        <f>'Data entry'!AQ15</f>
        <v>0</v>
      </c>
      <c r="AR16" s="95">
        <f>'Data entry'!AL15</f>
        <v>0</v>
      </c>
    </row>
    <row r="17" spans="2:44">
      <c r="B17" s="91" t="str">
        <f>'Data entry'!A16</f>
        <v>STS2024-33181</v>
      </c>
      <c r="C17" s="92" t="str">
        <f>'Data entry'!B16</f>
        <v>RT04</v>
      </c>
      <c r="D17" s="92" t="str">
        <f>'Test Summary'!G20</f>
        <v>ISO 12106:2017</v>
      </c>
      <c r="E17" s="93">
        <f>ROUND('Data entry'!I16, 3)</f>
        <v>60.813000000000002</v>
      </c>
      <c r="F17" s="93">
        <f>ROUND('Data entry'!H16, 3)</f>
        <v>8.7989999999999995</v>
      </c>
      <c r="G17" s="94">
        <f>'Test Summary'!F20</f>
        <v>300</v>
      </c>
      <c r="H17" s="98">
        <f>ROUND('Data entry'!Z16, 1)</f>
        <v>1.8</v>
      </c>
      <c r="I17" s="98">
        <f>ROUND('Data entry'!AA16, 1)</f>
        <v>0.8</v>
      </c>
      <c r="J17" s="93">
        <f>ROUND('Data entry'!P16, 3)</f>
        <v>0.4</v>
      </c>
      <c r="K17" s="93">
        <f>ROUND('Data entry'!Q16, 3)</f>
        <v>0</v>
      </c>
      <c r="L17" s="93">
        <f>ROUND('Test Summary'!J20, 2)</f>
        <v>-1</v>
      </c>
      <c r="M17" s="92" t="str">
        <f>'Test Summary'!L20</f>
        <v>tension</v>
      </c>
      <c r="N17" s="96" t="str">
        <f>'Test Summary'!K20</f>
        <v>Sawtooth</v>
      </c>
      <c r="O17" s="93">
        <f>'Test Summary'!I20</f>
        <v>0.1</v>
      </c>
      <c r="P17" s="92" t="str">
        <f>'Data entry'!V16</f>
        <v>SH-21</v>
      </c>
      <c r="Q17" s="92" t="str">
        <f>'Data entry'!W16</f>
        <v>KP/CM</v>
      </c>
      <c r="R17" s="97">
        <f>'Data entry'!X16</f>
        <v>45531</v>
      </c>
      <c r="S17" s="97">
        <f>'Data entry'!Y16</f>
        <v>45532</v>
      </c>
      <c r="U17" s="92" t="str">
        <f>'Data entry'!A16</f>
        <v>STS2024-33181</v>
      </c>
      <c r="V17" s="92" t="str">
        <f>'Data entry'!B16</f>
        <v>RT04</v>
      </c>
      <c r="W17" s="98">
        <f>ROUND('Data entry'!AB16, 1)</f>
        <v>300.3</v>
      </c>
      <c r="X17" s="98">
        <f>ROUND('Data entry'!AC16, 1)</f>
        <v>298.3</v>
      </c>
      <c r="Y17" s="98">
        <f>ROUND('Data entry'!AD16, 1)</f>
        <v>22.9</v>
      </c>
      <c r="Z17" s="98">
        <f>ROUND('Data entry'!AE16, 1)</f>
        <v>21.5</v>
      </c>
      <c r="AA17" s="98">
        <f>ROUND('Data entry'!AF16, 1)</f>
        <v>55.4</v>
      </c>
      <c r="AB17" s="98">
        <f>ROUND('Data entry'!AG16, 1)</f>
        <v>33</v>
      </c>
      <c r="AC17" s="99">
        <f>'Data entry'!AH16</f>
        <v>186.61</v>
      </c>
      <c r="AD17" s="105">
        <f>'Data entry'!AI16</f>
        <v>6074</v>
      </c>
      <c r="AE17" s="99">
        <f>'Data entry'!AM16</f>
        <v>633.17611777035404</v>
      </c>
      <c r="AF17" s="106">
        <f>'Data entry'!AN16</f>
        <v>0</v>
      </c>
      <c r="AG17" s="104">
        <f>ROUND('Data entry'!AQ16, 0)</f>
        <v>6075</v>
      </c>
      <c r="AH17" s="92" t="str">
        <f>'Data entry'!AO16</f>
        <v>No</v>
      </c>
      <c r="AI17" s="92" t="str">
        <f>'Data entry'!AP16</f>
        <v xml:space="preserve"> None</v>
      </c>
      <c r="AJ17" s="92">
        <f>'Data entry'!AR16</f>
        <v>2</v>
      </c>
      <c r="AK17" s="100" t="str">
        <f>'Data entry'!AS16</f>
        <v>Stop at 6,075 cycles then tensile test @ 20°C. Total Length 77.0.51mm</v>
      </c>
      <c r="AM17" s="92" t="str">
        <f>'Data entry'!A16</f>
        <v>STS2024-33181</v>
      </c>
      <c r="AN17" s="92" t="str">
        <f>'Data entry'!B16</f>
        <v>RT04</v>
      </c>
      <c r="AO17" s="93">
        <f>'Data entry'!T16</f>
        <v>0.2</v>
      </c>
      <c r="AP17" s="98">
        <f>'Test Summary'!J20</f>
        <v>-1</v>
      </c>
      <c r="AQ17" s="104">
        <f>'Data entry'!AQ16</f>
        <v>6075</v>
      </c>
      <c r="AR17" s="95">
        <f>'Data entry'!AL16</f>
        <v>316.58805888517702</v>
      </c>
    </row>
    <row r="18" spans="2:44">
      <c r="B18" s="91" t="str">
        <f>'Data entry'!A17</f>
        <v>STS2024-33182</v>
      </c>
      <c r="C18" s="92" t="str">
        <f>'Data entry'!B17</f>
        <v>RT05</v>
      </c>
      <c r="D18" s="92" t="str">
        <f>'Test Summary'!G21</f>
        <v>ISO 12106:2017</v>
      </c>
      <c r="E18" s="93">
        <f>ROUND('Data entry'!I17, 3)</f>
        <v>60.838000000000001</v>
      </c>
      <c r="F18" s="93">
        <f>ROUND('Data entry'!H17, 3)</f>
        <v>8.8010000000000002</v>
      </c>
      <c r="G18" s="94">
        <f>'Test Summary'!F21</f>
        <v>300</v>
      </c>
      <c r="H18" s="98">
        <f>ROUND('Data entry'!Z17, 1)</f>
        <v>1.8</v>
      </c>
      <c r="I18" s="98">
        <f>ROUND('Data entry'!AA17, 1)</f>
        <v>0.9</v>
      </c>
      <c r="J18" s="93">
        <f>ROUND('Data entry'!P17, 3)</f>
        <v>0.4</v>
      </c>
      <c r="K18" s="93">
        <f>ROUND('Data entry'!Q17, 3)</f>
        <v>0</v>
      </c>
      <c r="L18" s="93">
        <f>ROUND('Test Summary'!J21, 2)</f>
        <v>-1</v>
      </c>
      <c r="M18" s="92" t="str">
        <f>'Test Summary'!L21</f>
        <v>tension</v>
      </c>
      <c r="N18" s="96" t="str">
        <f>'Test Summary'!K21</f>
        <v>Sawtooth</v>
      </c>
      <c r="O18" s="93">
        <f>'Test Summary'!I21</f>
        <v>0.1</v>
      </c>
      <c r="P18" s="92" t="str">
        <f>'Data entry'!V17</f>
        <v>SH-21</v>
      </c>
      <c r="Q18" s="92" t="str">
        <f>'Data entry'!W17</f>
        <v>KP/CM</v>
      </c>
      <c r="R18" s="97">
        <f>'Data entry'!X17</f>
        <v>45518</v>
      </c>
      <c r="S18" s="97">
        <f>'Data entry'!Y17</f>
        <v>45519</v>
      </c>
      <c r="U18" s="92" t="str">
        <f>'Data entry'!A17</f>
        <v>STS2024-33182</v>
      </c>
      <c r="V18" s="92" t="str">
        <f>'Data entry'!B17</f>
        <v>RT05</v>
      </c>
      <c r="W18" s="98">
        <f>ROUND('Data entry'!AB17, 1)</f>
        <v>298.2</v>
      </c>
      <c r="X18" s="98">
        <f>ROUND('Data entry'!AC17, 1)</f>
        <v>297.5</v>
      </c>
      <c r="Y18" s="98">
        <f>ROUND('Data entry'!AD17, 1)</f>
        <v>24.2</v>
      </c>
      <c r="Z18" s="98">
        <f>ROUND('Data entry'!AE17, 1)</f>
        <v>22</v>
      </c>
      <c r="AA18" s="98">
        <f>ROUND('Data entry'!AF17, 1)</f>
        <v>55.7</v>
      </c>
      <c r="AB18" s="98">
        <f>ROUND('Data entry'!AG17, 1)</f>
        <v>32.200000000000003</v>
      </c>
      <c r="AC18" s="99">
        <f>'Data entry'!AH17</f>
        <v>195.31</v>
      </c>
      <c r="AD18" s="105">
        <f>'Data entry'!AI17</f>
        <v>6074</v>
      </c>
      <c r="AE18" s="99">
        <f>'Data entry'!AM17</f>
        <v>632.02032297256892</v>
      </c>
      <c r="AF18" s="106">
        <f>'Data entry'!AN17</f>
        <v>0</v>
      </c>
      <c r="AG18" s="104">
        <f>ROUND('Data entry'!AQ17, 0)</f>
        <v>6075</v>
      </c>
      <c r="AH18" s="92" t="str">
        <f>'Data entry'!AO17</f>
        <v>No</v>
      </c>
      <c r="AI18" s="92" t="str">
        <f>'Data entry'!AP17</f>
        <v xml:space="preserve"> None</v>
      </c>
      <c r="AJ18" s="92">
        <f>'Data entry'!AR17</f>
        <v>1</v>
      </c>
      <c r="AK18" s="100" t="str">
        <f>'Data entry'!AS17</f>
        <v>Stop at 6,075 cycles then tensile test @ 300°C. Total Length 77.021mm</v>
      </c>
      <c r="AM18" s="92" t="str">
        <f>'Data entry'!A17</f>
        <v>STS2024-33182</v>
      </c>
      <c r="AN18" s="92" t="str">
        <f>'Data entry'!B17</f>
        <v>RT05</v>
      </c>
      <c r="AO18" s="93">
        <f>'Data entry'!T17</f>
        <v>0.2</v>
      </c>
      <c r="AP18" s="98">
        <f>'Test Summary'!J21</f>
        <v>-1</v>
      </c>
      <c r="AQ18" s="104">
        <f>'Data entry'!AQ17</f>
        <v>6075</v>
      </c>
      <c r="AR18" s="95">
        <f>'Data entry'!AL17</f>
        <v>316.01016148628446</v>
      </c>
    </row>
    <row r="19" spans="2:44">
      <c r="B19" s="91" t="str">
        <f>'Data entry'!A18</f>
        <v>STS2024-33183</v>
      </c>
      <c r="C19" s="92" t="str">
        <f>'Data entry'!B18</f>
        <v>RT06</v>
      </c>
      <c r="D19" s="92" t="str">
        <f>'Test Summary'!G22</f>
        <v>ISO 12106:2017</v>
      </c>
      <c r="E19" s="93">
        <f>ROUND('Data entry'!I18, 3)</f>
        <v>60.917999999999999</v>
      </c>
      <c r="F19" s="93">
        <f>ROUND('Data entry'!H18, 3)</f>
        <v>8.8070000000000004</v>
      </c>
      <c r="G19" s="94">
        <f>'Test Summary'!F22</f>
        <v>300</v>
      </c>
      <c r="H19" s="98">
        <f>ROUND('Data entry'!Z18, 1)</f>
        <v>0</v>
      </c>
      <c r="I19" s="98">
        <f>ROUND('Data entry'!AA18, 1)</f>
        <v>0</v>
      </c>
      <c r="J19" s="93">
        <f>ROUND('Data entry'!P18, 3)</f>
        <v>0.4</v>
      </c>
      <c r="K19" s="93">
        <f>ROUND('Data entry'!Q18, 3)</f>
        <v>0</v>
      </c>
      <c r="L19" s="93">
        <f>ROUND('Test Summary'!J22, 2)</f>
        <v>-1</v>
      </c>
      <c r="M19" s="92" t="str">
        <f>'Test Summary'!L22</f>
        <v>tension</v>
      </c>
      <c r="N19" s="96" t="str">
        <f>'Test Summary'!K22</f>
        <v>Sawtooth</v>
      </c>
      <c r="O19" s="93">
        <f>'Test Summary'!I22</f>
        <v>0.1</v>
      </c>
      <c r="P19" s="92" t="str">
        <f>'Data entry'!V18</f>
        <v>SH-21</v>
      </c>
      <c r="Q19" s="92">
        <f>'Data entry'!W18</f>
        <v>0</v>
      </c>
      <c r="R19" s="97">
        <f>'Data entry'!X18</f>
        <v>0</v>
      </c>
      <c r="S19" s="97">
        <f>'Data entry'!Y18</f>
        <v>0</v>
      </c>
      <c r="U19" s="92" t="str">
        <f>'Data entry'!A18</f>
        <v>STS2024-33183</v>
      </c>
      <c r="V19" s="92" t="str">
        <f>'Data entry'!B18</f>
        <v>RT06</v>
      </c>
      <c r="W19" s="98">
        <f>ROUND('Data entry'!AB18, 1)</f>
        <v>0</v>
      </c>
      <c r="X19" s="98">
        <f>ROUND('Data entry'!AC18, 1)</f>
        <v>0</v>
      </c>
      <c r="Y19" s="98">
        <f>ROUND('Data entry'!AD18, 1)</f>
        <v>0</v>
      </c>
      <c r="Z19" s="98">
        <f>ROUND('Data entry'!AE18, 1)</f>
        <v>0</v>
      </c>
      <c r="AA19" s="98">
        <f>ROUND('Data entry'!AF18, 1)</f>
        <v>0</v>
      </c>
      <c r="AB19" s="98">
        <f>ROUND('Data entry'!AG18, 1)</f>
        <v>0</v>
      </c>
      <c r="AC19" s="99">
        <f>'Data entry'!AH18</f>
        <v>0</v>
      </c>
      <c r="AD19" s="105">
        <f>'Data entry'!AI18</f>
        <v>0</v>
      </c>
      <c r="AE19" s="99">
        <f>'Data entry'!AM18</f>
        <v>0</v>
      </c>
      <c r="AF19" s="106">
        <f>'Data entry'!AN18</f>
        <v>0</v>
      </c>
      <c r="AG19" s="104">
        <f>ROUND('Data entry'!AQ18, 0)</f>
        <v>0</v>
      </c>
      <c r="AH19" s="92">
        <f>'Data entry'!AO18</f>
        <v>0</v>
      </c>
      <c r="AI19" s="92">
        <f>'Data entry'!AP18</f>
        <v>0</v>
      </c>
      <c r="AJ19" s="92">
        <f>'Data entry'!AR18</f>
        <v>0</v>
      </c>
      <c r="AK19" s="100" t="str">
        <f>'Data entry'!AS18</f>
        <v>Stop at 6,075 cycles then tensile test @ 550°C</v>
      </c>
      <c r="AM19" s="92" t="str">
        <f>'Data entry'!A18</f>
        <v>STS2024-33183</v>
      </c>
      <c r="AN19" s="92" t="str">
        <f>'Data entry'!B18</f>
        <v>RT06</v>
      </c>
      <c r="AO19" s="93">
        <f>'Data entry'!T18</f>
        <v>0.2</v>
      </c>
      <c r="AP19" s="98">
        <f>'Test Summary'!J22</f>
        <v>-1</v>
      </c>
      <c r="AQ19" s="104">
        <f>'Data entry'!AQ18</f>
        <v>0</v>
      </c>
      <c r="AR19" s="95">
        <f>'Data entry'!AL18</f>
        <v>0</v>
      </c>
    </row>
    <row r="20" spans="2:44">
      <c r="B20" s="91" t="str">
        <f>'Data entry'!A19</f>
        <v>STS2024-33184</v>
      </c>
      <c r="C20" s="92" t="str">
        <f>'Data entry'!B19</f>
        <v>RT07</v>
      </c>
      <c r="D20" s="92" t="str">
        <f>'Test Summary'!G23</f>
        <v>ISO 12106:2017</v>
      </c>
      <c r="E20" s="93">
        <f>ROUND('Data entry'!I19, 3)</f>
        <v>60.826999999999998</v>
      </c>
      <c r="F20" s="93">
        <f>ROUND('Data entry'!H19, 3)</f>
        <v>8.8000000000000007</v>
      </c>
      <c r="G20" s="94">
        <f>'Test Summary'!F23</f>
        <v>300</v>
      </c>
      <c r="H20" s="98">
        <f>ROUND('Data entry'!Z19, 1)</f>
        <v>1.5</v>
      </c>
      <c r="I20" s="98">
        <f>ROUND('Data entry'!AA19, 1)</f>
        <v>0.7</v>
      </c>
      <c r="J20" s="93">
        <f>ROUND('Data entry'!P19, 3)</f>
        <v>0.5</v>
      </c>
      <c r="K20" s="93">
        <f>ROUND('Data entry'!Q19, 3)</f>
        <v>0</v>
      </c>
      <c r="L20" s="93">
        <f>ROUND('Test Summary'!J23, 2)</f>
        <v>-1</v>
      </c>
      <c r="M20" s="92" t="str">
        <f>'Test Summary'!L23</f>
        <v>tension</v>
      </c>
      <c r="N20" s="96" t="str">
        <f>'Test Summary'!K23</f>
        <v>Sawtooth</v>
      </c>
      <c r="O20" s="93">
        <f>'Test Summary'!I23</f>
        <v>0.1</v>
      </c>
      <c r="P20" s="92" t="str">
        <f>'Data entry'!V19</f>
        <v>SH-21</v>
      </c>
      <c r="Q20" s="92" t="str">
        <f>'Data entry'!W19</f>
        <v>KP/CM</v>
      </c>
      <c r="R20" s="97">
        <f>'Data entry'!X19</f>
        <v>45533</v>
      </c>
      <c r="S20" s="97">
        <f>'Data entry'!Y19</f>
        <v>45534</v>
      </c>
      <c r="U20" s="92" t="str">
        <f>'Data entry'!A19</f>
        <v>STS2024-33184</v>
      </c>
      <c r="V20" s="92" t="str">
        <f>'Data entry'!B19</f>
        <v>RT07</v>
      </c>
      <c r="W20" s="98">
        <f>ROUND('Data entry'!AB19, 1)</f>
        <v>301.39999999999998</v>
      </c>
      <c r="X20" s="98">
        <f>ROUND('Data entry'!AC19, 1)</f>
        <v>299.39999999999998</v>
      </c>
      <c r="Y20" s="98">
        <f>ROUND('Data entry'!AD19, 1)</f>
        <v>23.2</v>
      </c>
      <c r="Z20" s="98">
        <f>ROUND('Data entry'!AE19, 1)</f>
        <v>21.4</v>
      </c>
      <c r="AA20" s="98">
        <f>ROUND('Data entry'!AF19, 1)</f>
        <v>47.4</v>
      </c>
      <c r="AB20" s="98">
        <f>ROUND('Data entry'!AG19, 1)</f>
        <v>33.1</v>
      </c>
      <c r="AC20" s="99">
        <f>'Data entry'!AH19</f>
        <v>194.21</v>
      </c>
      <c r="AD20" s="105">
        <f>'Data entry'!AI19</f>
        <v>2241</v>
      </c>
      <c r="AE20" s="99">
        <f>'Data entry'!AM19</f>
        <v>0</v>
      </c>
      <c r="AF20" s="106">
        <f>'Data entry'!AN19</f>
        <v>0</v>
      </c>
      <c r="AG20" s="104">
        <f>ROUND('Data entry'!AQ19, 0)</f>
        <v>2242</v>
      </c>
      <c r="AH20" s="92" t="str">
        <f>'Data entry'!AO19</f>
        <v>No</v>
      </c>
      <c r="AI20" s="92" t="str">
        <f>'Data entry'!AP19</f>
        <v xml:space="preserve"> None</v>
      </c>
      <c r="AJ20" s="92">
        <f>'Data entry'!AR19</f>
        <v>1</v>
      </c>
      <c r="AK20" s="100" t="str">
        <f>'Data entry'!AS19</f>
        <v>Stop at 2,242 cycles then tensile test @ 20°C. Total Length 77.010mm</v>
      </c>
      <c r="AM20" s="92" t="str">
        <f>'Data entry'!A19</f>
        <v>STS2024-33184</v>
      </c>
      <c r="AN20" s="92" t="str">
        <f>'Data entry'!B19</f>
        <v>RT07</v>
      </c>
      <c r="AO20" s="93">
        <f>'Data entry'!T19</f>
        <v>0.25</v>
      </c>
      <c r="AP20" s="98">
        <f>'Test Summary'!J23</f>
        <v>-1</v>
      </c>
      <c r="AQ20" s="104">
        <f>'Data entry'!AQ19</f>
        <v>2242</v>
      </c>
      <c r="AR20" s="95">
        <f>'Data entry'!AL19</f>
        <v>334.99060262450303</v>
      </c>
    </row>
    <row r="21" spans="2:44">
      <c r="B21" s="91" t="str">
        <f>'Data entry'!A20</f>
        <v>STS2024-33185</v>
      </c>
      <c r="C21" s="92" t="str">
        <f>'Data entry'!B20</f>
        <v>RT08</v>
      </c>
      <c r="D21" s="92" t="str">
        <f>'Test Summary'!G24</f>
        <v>ISO 12106:2017</v>
      </c>
      <c r="E21" s="93">
        <f>ROUND('Data entry'!I20, 3)</f>
        <v>60.817999999999998</v>
      </c>
      <c r="F21" s="93">
        <f>ROUND('Data entry'!H20, 3)</f>
        <v>8.8000000000000007</v>
      </c>
      <c r="G21" s="94">
        <f>'Test Summary'!F24</f>
        <v>300</v>
      </c>
      <c r="H21" s="98">
        <f>ROUND('Data entry'!Z20, 1)</f>
        <v>1.6</v>
      </c>
      <c r="I21" s="98">
        <f>ROUND('Data entry'!AA20, 1)</f>
        <v>0.7</v>
      </c>
      <c r="J21" s="93">
        <f>ROUND('Data entry'!P20, 3)</f>
        <v>0.5</v>
      </c>
      <c r="K21" s="93">
        <f>ROUND('Data entry'!Q20, 3)</f>
        <v>0</v>
      </c>
      <c r="L21" s="93">
        <f>ROUND('Test Summary'!J24, 2)</f>
        <v>-1</v>
      </c>
      <c r="M21" s="92" t="str">
        <f>'Test Summary'!L24</f>
        <v>tension</v>
      </c>
      <c r="N21" s="96" t="str">
        <f>'Test Summary'!K24</f>
        <v>Sawtooth</v>
      </c>
      <c r="O21" s="93">
        <f>'Test Summary'!I24</f>
        <v>0.1</v>
      </c>
      <c r="P21" s="92" t="str">
        <f>'Data entry'!V20</f>
        <v>SH-21</v>
      </c>
      <c r="Q21" s="92" t="str">
        <f>'Data entry'!W20</f>
        <v>KP/CM</v>
      </c>
      <c r="R21" s="97">
        <f>'Data entry'!X20</f>
        <v>45526</v>
      </c>
      <c r="S21" s="97">
        <f>'Data entry'!Y20</f>
        <v>45526</v>
      </c>
      <c r="U21" s="92" t="str">
        <f>'Data entry'!A20</f>
        <v>STS2024-33185</v>
      </c>
      <c r="V21" s="92" t="str">
        <f>'Data entry'!B20</f>
        <v>RT08</v>
      </c>
      <c r="W21" s="98">
        <f>ROUND('Data entry'!AB20, 1)</f>
        <v>300.3</v>
      </c>
      <c r="X21" s="98">
        <f>ROUND('Data entry'!AC20, 1)</f>
        <v>299.10000000000002</v>
      </c>
      <c r="Y21" s="98">
        <f>ROUND('Data entry'!AD20, 1)</f>
        <v>22.2</v>
      </c>
      <c r="Z21" s="98">
        <f>ROUND('Data entry'!AE20, 1)</f>
        <v>21.6</v>
      </c>
      <c r="AA21" s="98">
        <f>ROUND('Data entry'!AF20, 1)</f>
        <v>45.9</v>
      </c>
      <c r="AB21" s="98">
        <f>ROUND('Data entry'!AG20, 1)</f>
        <v>34.200000000000003</v>
      </c>
      <c r="AC21" s="99">
        <f>'Data entry'!AH20</f>
        <v>186.6</v>
      </c>
      <c r="AD21" s="105">
        <f>'Data entry'!AI20</f>
        <v>2241</v>
      </c>
      <c r="AE21" s="99">
        <f>'Data entry'!AM20</f>
        <v>670.14411061667897</v>
      </c>
      <c r="AF21" s="106">
        <f>'Data entry'!AN20</f>
        <v>0</v>
      </c>
      <c r="AG21" s="104">
        <f>ROUND('Data entry'!AQ20, 0)</f>
        <v>2242</v>
      </c>
      <c r="AH21" s="92" t="str">
        <f>'Data entry'!AO20</f>
        <v>No</v>
      </c>
      <c r="AI21" s="92" t="str">
        <f>'Data entry'!AP20</f>
        <v xml:space="preserve"> None</v>
      </c>
      <c r="AJ21" s="92">
        <f>'Data entry'!AR20</f>
        <v>1</v>
      </c>
      <c r="AK21" s="100" t="str">
        <f>'Data entry'!AS20</f>
        <v>Stop at 2,242 cycles then tensile test @ 300°C. Total Length 77.044mm</v>
      </c>
      <c r="AM21" s="92" t="str">
        <f>'Data entry'!A20</f>
        <v>STS2024-33185</v>
      </c>
      <c r="AN21" s="92" t="str">
        <f>'Data entry'!B20</f>
        <v>RT08</v>
      </c>
      <c r="AO21" s="93">
        <f>'Data entry'!T20</f>
        <v>0.25</v>
      </c>
      <c r="AP21" s="98">
        <f>'Test Summary'!J24</f>
        <v>-1</v>
      </c>
      <c r="AQ21" s="104">
        <f>'Data entry'!AQ20</f>
        <v>2242</v>
      </c>
      <c r="AR21" s="95">
        <f>'Data entry'!AL20</f>
        <v>335.07205530833949</v>
      </c>
    </row>
    <row r="22" spans="2:44">
      <c r="B22" s="91" t="str">
        <f>'Data entry'!A21</f>
        <v>STS2024-33186</v>
      </c>
      <c r="C22" s="92" t="str">
        <f>'Data entry'!B21</f>
        <v>RT09</v>
      </c>
      <c r="D22" s="92" t="str">
        <f>'Test Summary'!G25</f>
        <v>ISO 12106:2017</v>
      </c>
      <c r="E22" s="93" t="e">
        <f>ROUND('Data entry'!I21, 3)</f>
        <v>#DIV/0!</v>
      </c>
      <c r="F22" s="93" t="e">
        <f>ROUND('Data entry'!H21, 3)</f>
        <v>#DIV/0!</v>
      </c>
      <c r="G22" s="94">
        <f>'Test Summary'!F25</f>
        <v>300</v>
      </c>
      <c r="H22" s="98">
        <f>ROUND('Data entry'!Z21, 1)</f>
        <v>0</v>
      </c>
      <c r="I22" s="98">
        <f>ROUND('Data entry'!AA21, 1)</f>
        <v>0</v>
      </c>
      <c r="J22" s="93">
        <f>ROUND('Data entry'!P21, 3)</f>
        <v>0.5</v>
      </c>
      <c r="K22" s="93">
        <f>ROUND('Data entry'!Q21, 3)</f>
        <v>0</v>
      </c>
      <c r="L22" s="93">
        <f>ROUND('Test Summary'!J25, 2)</f>
        <v>-1</v>
      </c>
      <c r="M22" s="92" t="str">
        <f>'Test Summary'!L25</f>
        <v>tension</v>
      </c>
      <c r="N22" s="96" t="str">
        <f>'Test Summary'!K25</f>
        <v>Sawtooth</v>
      </c>
      <c r="O22" s="93">
        <f>'Test Summary'!I25</f>
        <v>0.1</v>
      </c>
      <c r="P22" s="92">
        <f>'Data entry'!V21</f>
        <v>0</v>
      </c>
      <c r="Q22" s="92">
        <f>'Data entry'!W21</f>
        <v>0</v>
      </c>
      <c r="R22" s="97">
        <f>'Data entry'!X21</f>
        <v>0</v>
      </c>
      <c r="S22" s="97">
        <f>'Data entry'!Y21</f>
        <v>0</v>
      </c>
      <c r="U22" s="92" t="str">
        <f>'Data entry'!A21</f>
        <v>STS2024-33186</v>
      </c>
      <c r="V22" s="92" t="str">
        <f>'Data entry'!B21</f>
        <v>RT09</v>
      </c>
      <c r="W22" s="98">
        <f>ROUND('Data entry'!AB21, 1)</f>
        <v>0</v>
      </c>
      <c r="X22" s="98">
        <f>ROUND('Data entry'!AC21, 1)</f>
        <v>0</v>
      </c>
      <c r="Y22" s="98">
        <f>ROUND('Data entry'!AD21, 1)</f>
        <v>0</v>
      </c>
      <c r="Z22" s="98">
        <f>ROUND('Data entry'!AE21, 1)</f>
        <v>0</v>
      </c>
      <c r="AA22" s="98">
        <f>ROUND('Data entry'!AF21, 1)</f>
        <v>0</v>
      </c>
      <c r="AB22" s="98">
        <f>ROUND('Data entry'!AG21, 1)</f>
        <v>0</v>
      </c>
      <c r="AC22" s="99">
        <f>'Data entry'!AH21</f>
        <v>0</v>
      </c>
      <c r="AD22" s="105">
        <f>'Data entry'!AI21</f>
        <v>0</v>
      </c>
      <c r="AE22" s="99">
        <f>'Data entry'!AM21</f>
        <v>0</v>
      </c>
      <c r="AF22" s="106">
        <f>'Data entry'!AN21</f>
        <v>0</v>
      </c>
      <c r="AG22" s="104">
        <f>ROUND('Data entry'!AQ21, 0)</f>
        <v>0</v>
      </c>
      <c r="AH22" s="92">
        <f>'Data entry'!AO21</f>
        <v>0</v>
      </c>
      <c r="AI22" s="92">
        <f>'Data entry'!AP21</f>
        <v>0</v>
      </c>
      <c r="AJ22" s="92">
        <f>'Data entry'!AR21</f>
        <v>0</v>
      </c>
      <c r="AK22" s="100" t="str">
        <f>'Data entry'!AS21</f>
        <v>Stop at 2,242 cycles then tensile test @ 550°C</v>
      </c>
      <c r="AM22" s="92" t="str">
        <f>'Data entry'!A21</f>
        <v>STS2024-33186</v>
      </c>
      <c r="AN22" s="92" t="str">
        <f>'Data entry'!B21</f>
        <v>RT09</v>
      </c>
      <c r="AO22" s="93">
        <f>'Data entry'!T21</f>
        <v>0.25</v>
      </c>
      <c r="AP22" s="98">
        <f>'Test Summary'!J25</f>
        <v>-1</v>
      </c>
      <c r="AQ22" s="104">
        <f>'Data entry'!AQ21</f>
        <v>0</v>
      </c>
      <c r="AR22" s="95">
        <f>'Data entry'!AL21</f>
        <v>0</v>
      </c>
    </row>
    <row r="23" spans="2:44">
      <c r="B23" s="91" t="str">
        <f>'Data entry'!A22</f>
        <v>STS2024-33187</v>
      </c>
      <c r="C23" s="92" t="str">
        <f>'Data entry'!B22</f>
        <v>RT10</v>
      </c>
      <c r="D23" s="92" t="str">
        <f>'Test Summary'!G26</f>
        <v>ISO 12106:2017</v>
      </c>
      <c r="E23" s="93">
        <f>ROUND('Data entry'!I22, 3)</f>
        <v>60.851999999999997</v>
      </c>
      <c r="F23" s="93">
        <f>ROUND('Data entry'!H22, 3)</f>
        <v>8.8019999999999996</v>
      </c>
      <c r="G23" s="94">
        <f>'Test Summary'!F26</f>
        <v>300</v>
      </c>
      <c r="H23" s="98">
        <f>ROUND('Data entry'!Z22, 1)</f>
        <v>1.5</v>
      </c>
      <c r="I23" s="98">
        <f>ROUND('Data entry'!AA22, 1)</f>
        <v>1.1000000000000001</v>
      </c>
      <c r="J23" s="93">
        <f>ROUND('Data entry'!P22, 3)</f>
        <v>0.6</v>
      </c>
      <c r="K23" s="93">
        <f>ROUND('Data entry'!Q22, 3)</f>
        <v>0</v>
      </c>
      <c r="L23" s="93">
        <f>ROUND('Test Summary'!J26, 2)</f>
        <v>-1</v>
      </c>
      <c r="M23" s="92" t="str">
        <f>'Test Summary'!L26</f>
        <v>tension</v>
      </c>
      <c r="N23" s="96" t="str">
        <f>'Test Summary'!K26</f>
        <v>Sawtooth</v>
      </c>
      <c r="O23" s="93">
        <f>'Test Summary'!I26</f>
        <v>0.1</v>
      </c>
      <c r="P23" s="92" t="str">
        <f>'Data entry'!V22</f>
        <v>SH-21</v>
      </c>
      <c r="Q23" s="92" t="str">
        <f>'Data entry'!W22</f>
        <v>KP/CM</v>
      </c>
      <c r="R23" s="97">
        <f>'Data entry'!X22</f>
        <v>45527</v>
      </c>
      <c r="S23" s="97">
        <f>'Data entry'!Y22</f>
        <v>45527</v>
      </c>
      <c r="U23" s="92" t="str">
        <f>'Data entry'!A22</f>
        <v>STS2024-33187</v>
      </c>
      <c r="V23" s="92" t="str">
        <f>'Data entry'!B22</f>
        <v>RT10</v>
      </c>
      <c r="W23" s="98">
        <f>ROUND('Data entry'!AB22, 1)</f>
        <v>301.60000000000002</v>
      </c>
      <c r="X23" s="98">
        <f>ROUND('Data entry'!AC22, 1)</f>
        <v>299.39999999999998</v>
      </c>
      <c r="Y23" s="98">
        <f>ROUND('Data entry'!AD22, 1)</f>
        <v>23</v>
      </c>
      <c r="Z23" s="98">
        <f>ROUND('Data entry'!AE22, 1)</f>
        <v>21.6</v>
      </c>
      <c r="AA23" s="98">
        <f>ROUND('Data entry'!AF22, 1)</f>
        <v>46.9</v>
      </c>
      <c r="AB23" s="98">
        <f>ROUND('Data entry'!AG22, 1)</f>
        <v>34.200000000000003</v>
      </c>
      <c r="AC23" s="99">
        <f>'Data entry'!AH22</f>
        <v>195.03</v>
      </c>
      <c r="AD23" s="105">
        <f>'Data entry'!AI22</f>
        <v>1013</v>
      </c>
      <c r="AE23" s="99">
        <f>'Data entry'!AM22</f>
        <v>700.58070328891097</v>
      </c>
      <c r="AF23" s="106">
        <f>'Data entry'!AN22</f>
        <v>0</v>
      </c>
      <c r="AG23" s="104">
        <f>ROUND('Data entry'!AQ22, 0)</f>
        <v>1014</v>
      </c>
      <c r="AH23" s="92" t="str">
        <f>'Data entry'!AO22</f>
        <v>No</v>
      </c>
      <c r="AI23" s="92" t="str">
        <f>'Data entry'!AP22</f>
        <v xml:space="preserve"> None</v>
      </c>
      <c r="AJ23" s="92">
        <f>'Data entry'!AR22</f>
        <v>1</v>
      </c>
      <c r="AK23" s="100" t="str">
        <f>'Data entry'!AS22</f>
        <v>Stop at 1,014 cycles then tensile test @ 20°C. Total Length 76.983mm</v>
      </c>
      <c r="AM23" s="92" t="str">
        <f>'Data entry'!A22</f>
        <v>STS2024-33187</v>
      </c>
      <c r="AN23" s="92" t="str">
        <f>'Data entry'!B22</f>
        <v>RT10</v>
      </c>
      <c r="AO23" s="93">
        <f>'Data entry'!T22</f>
        <v>0.3</v>
      </c>
      <c r="AP23" s="98">
        <f>'Test Summary'!J26</f>
        <v>-1</v>
      </c>
      <c r="AQ23" s="104">
        <f>'Data entry'!AQ22</f>
        <v>1014</v>
      </c>
      <c r="AR23" s="95">
        <f>'Data entry'!AL22</f>
        <v>350.29035164445548</v>
      </c>
    </row>
    <row r="24" spans="2:44">
      <c r="B24" s="91" t="str">
        <f>'Data entry'!A23</f>
        <v>STS2024-33188</v>
      </c>
      <c r="C24" s="92" t="str">
        <f>'Data entry'!B23</f>
        <v>RT11</v>
      </c>
      <c r="D24" s="92" t="str">
        <f>'Test Summary'!G27</f>
        <v>ISO 12106:2017</v>
      </c>
      <c r="E24" s="93">
        <f>ROUND('Data entry'!I23, 3)</f>
        <v>60.884999999999998</v>
      </c>
      <c r="F24" s="93">
        <f>ROUND('Data entry'!H23, 3)</f>
        <v>8.8049999999999997</v>
      </c>
      <c r="G24" s="94">
        <f>'Test Summary'!F27</f>
        <v>300</v>
      </c>
      <c r="H24" s="98">
        <f>ROUND('Data entry'!Z23, 1)</f>
        <v>1.7</v>
      </c>
      <c r="I24" s="98">
        <f>ROUND('Data entry'!AA23, 1)</f>
        <v>0.7</v>
      </c>
      <c r="J24" s="93">
        <f>ROUND('Data entry'!P23, 3)</f>
        <v>0.6</v>
      </c>
      <c r="K24" s="93">
        <f>ROUND('Data entry'!Q23, 3)</f>
        <v>0</v>
      </c>
      <c r="L24" s="93">
        <f>ROUND('Test Summary'!J27, 2)</f>
        <v>-1</v>
      </c>
      <c r="M24" s="92" t="str">
        <f>'Test Summary'!L27</f>
        <v>tension</v>
      </c>
      <c r="N24" s="96" t="str">
        <f>'Test Summary'!K27</f>
        <v>Sawtooth</v>
      </c>
      <c r="O24" s="93">
        <f>'Test Summary'!I27</f>
        <v>0.1</v>
      </c>
      <c r="P24" s="92" t="str">
        <f>'Data entry'!V23</f>
        <v>SH-21</v>
      </c>
      <c r="Q24" s="92" t="str">
        <f>'Data entry'!W23</f>
        <v>KP/CM</v>
      </c>
      <c r="R24" s="97">
        <f>'Data entry'!X23</f>
        <v>45517</v>
      </c>
      <c r="S24" s="97">
        <f>'Data entry'!Y23</f>
        <v>45517</v>
      </c>
      <c r="U24" s="92" t="str">
        <f>'Data entry'!A23</f>
        <v>STS2024-33188</v>
      </c>
      <c r="V24" s="92" t="str">
        <f>'Data entry'!B23</f>
        <v>RT11</v>
      </c>
      <c r="W24" s="98">
        <f>ROUND('Data entry'!AB23, 1)</f>
        <v>300.3</v>
      </c>
      <c r="X24" s="98">
        <f>ROUND('Data entry'!AC23, 1)</f>
        <v>299.10000000000002</v>
      </c>
      <c r="Y24" s="98">
        <f>ROUND('Data entry'!AD23, 1)</f>
        <v>23.7</v>
      </c>
      <c r="Z24" s="98">
        <f>ROUND('Data entry'!AE23, 1)</f>
        <v>22.1</v>
      </c>
      <c r="AA24" s="98">
        <f>ROUND('Data entry'!AF23, 1)</f>
        <v>56.4</v>
      </c>
      <c r="AB24" s="98">
        <f>ROUND('Data entry'!AG23, 1)</f>
        <v>32</v>
      </c>
      <c r="AC24" s="99">
        <f>'Data entry'!AH23</f>
        <v>200.89</v>
      </c>
      <c r="AD24" s="105">
        <f>'Data entry'!AI23</f>
        <v>1013</v>
      </c>
      <c r="AE24" s="99">
        <f>'Data entry'!AM23</f>
        <v>701.137540230681</v>
      </c>
      <c r="AF24" s="106">
        <f>'Data entry'!AN23</f>
        <v>0</v>
      </c>
      <c r="AG24" s="104">
        <f>ROUND('Data entry'!AQ23, 0)</f>
        <v>1014</v>
      </c>
      <c r="AH24" s="92" t="str">
        <f>'Data entry'!AO23</f>
        <v>No</v>
      </c>
      <c r="AI24" s="92" t="str">
        <f>'Data entry'!AP23</f>
        <v xml:space="preserve"> None</v>
      </c>
      <c r="AJ24" s="92">
        <f>'Data entry'!AR23</f>
        <v>1</v>
      </c>
      <c r="AK24" s="100" t="str">
        <f>'Data entry'!AS23</f>
        <v>Stop at 1,014 cycles then tensile test @ 300°C. Total Length 77.024mm</v>
      </c>
      <c r="AM24" s="92" t="str">
        <f>'Data entry'!A23</f>
        <v>STS2024-33188</v>
      </c>
      <c r="AN24" s="92" t="str">
        <f>'Data entry'!B23</f>
        <v>RT11</v>
      </c>
      <c r="AO24" s="93">
        <f>'Data entry'!T23</f>
        <v>0.3</v>
      </c>
      <c r="AP24" s="98">
        <f>'Test Summary'!J27</f>
        <v>-1</v>
      </c>
      <c r="AQ24" s="104">
        <f>'Data entry'!AQ23</f>
        <v>1014</v>
      </c>
      <c r="AR24" s="95">
        <f>'Data entry'!AL23</f>
        <v>350.5687701153405</v>
      </c>
    </row>
    <row r="25" spans="2:44">
      <c r="B25" s="91" t="str">
        <f>'Data entry'!A24</f>
        <v>STS2024-33189</v>
      </c>
      <c r="C25" s="92" t="str">
        <f>'Data entry'!B24</f>
        <v>RT12</v>
      </c>
      <c r="D25" s="92" t="str">
        <f>'Test Summary'!G28</f>
        <v>ISO 12106:2017</v>
      </c>
      <c r="E25" s="93" t="e">
        <f>ROUND('Data entry'!I24, 3)</f>
        <v>#DIV/0!</v>
      </c>
      <c r="F25" s="93" t="e">
        <f>ROUND('Data entry'!H24, 3)</f>
        <v>#DIV/0!</v>
      </c>
      <c r="G25" s="94">
        <f>'Test Summary'!F28</f>
        <v>300</v>
      </c>
      <c r="H25" s="98">
        <f>ROUND('Data entry'!Z24, 1)</f>
        <v>0</v>
      </c>
      <c r="I25" s="98">
        <f>ROUND('Data entry'!AA24, 1)</f>
        <v>0</v>
      </c>
      <c r="J25" s="93">
        <f>ROUND('Data entry'!P24, 3)</f>
        <v>0.6</v>
      </c>
      <c r="K25" s="93">
        <f>ROUND('Data entry'!Q24, 3)</f>
        <v>0</v>
      </c>
      <c r="L25" s="93">
        <f>ROUND('Test Summary'!J28, 2)</f>
        <v>-1</v>
      </c>
      <c r="M25" s="92" t="str">
        <f>'Test Summary'!L28</f>
        <v>tension</v>
      </c>
      <c r="N25" s="96" t="str">
        <f>'Test Summary'!K28</f>
        <v>Sawtooth</v>
      </c>
      <c r="O25" s="93">
        <f>'Test Summary'!I28</f>
        <v>0.1</v>
      </c>
      <c r="P25" s="92">
        <f>'Data entry'!V24</f>
        <v>0</v>
      </c>
      <c r="Q25" s="92">
        <f>'Data entry'!W24</f>
        <v>0</v>
      </c>
      <c r="R25" s="97">
        <f>'Data entry'!X24</f>
        <v>0</v>
      </c>
      <c r="S25" s="97">
        <f>'Data entry'!Y24</f>
        <v>0</v>
      </c>
      <c r="U25" s="92" t="str">
        <f>'Data entry'!A24</f>
        <v>STS2024-33189</v>
      </c>
      <c r="V25" s="92" t="str">
        <f>'Data entry'!B24</f>
        <v>RT12</v>
      </c>
      <c r="W25" s="98">
        <f>ROUND('Data entry'!AB24, 1)</f>
        <v>0</v>
      </c>
      <c r="X25" s="98">
        <f>ROUND('Data entry'!AC24, 1)</f>
        <v>0</v>
      </c>
      <c r="Y25" s="98">
        <f>ROUND('Data entry'!AD24, 1)</f>
        <v>0</v>
      </c>
      <c r="Z25" s="98">
        <f>ROUND('Data entry'!AE24, 1)</f>
        <v>0</v>
      </c>
      <c r="AA25" s="98">
        <f>ROUND('Data entry'!AF24, 1)</f>
        <v>0</v>
      </c>
      <c r="AB25" s="98">
        <f>ROUND('Data entry'!AG24, 1)</f>
        <v>0</v>
      </c>
      <c r="AC25" s="99">
        <f>'Data entry'!AH24</f>
        <v>0</v>
      </c>
      <c r="AD25" s="105">
        <f>'Data entry'!AI24</f>
        <v>0</v>
      </c>
      <c r="AE25" s="99">
        <f>'Data entry'!AM24</f>
        <v>0</v>
      </c>
      <c r="AF25" s="106">
        <f>'Data entry'!AN24</f>
        <v>0</v>
      </c>
      <c r="AG25" s="104">
        <f>ROUND('Data entry'!AQ24, 0)</f>
        <v>0</v>
      </c>
      <c r="AH25" s="92">
        <f>'Data entry'!AO24</f>
        <v>0</v>
      </c>
      <c r="AI25" s="92">
        <f>'Data entry'!AP24</f>
        <v>0</v>
      </c>
      <c r="AJ25" s="92">
        <f>'Data entry'!AR24</f>
        <v>0</v>
      </c>
      <c r="AK25" s="100" t="str">
        <f>'Data entry'!AS24</f>
        <v>Stop at 1,014 cycles then tensile test @ 550°C</v>
      </c>
      <c r="AM25" s="92" t="str">
        <f>'Data entry'!A24</f>
        <v>STS2024-33189</v>
      </c>
      <c r="AN25" s="92" t="str">
        <f>'Data entry'!B24</f>
        <v>RT12</v>
      </c>
      <c r="AO25" s="93">
        <f>'Data entry'!T24</f>
        <v>0.3</v>
      </c>
      <c r="AP25" s="98">
        <f>'Test Summary'!J28</f>
        <v>-1</v>
      </c>
      <c r="AQ25" s="104">
        <f>'Data entry'!AQ24</f>
        <v>0</v>
      </c>
      <c r="AR25" s="95">
        <f>'Data entry'!AL24</f>
        <v>0</v>
      </c>
    </row>
  </sheetData>
  <mergeCells count="12">
    <mergeCell ref="AD11:AF11"/>
    <mergeCell ref="M4:O4"/>
    <mergeCell ref="P4:T4"/>
    <mergeCell ref="Y11:Z11"/>
    <mergeCell ref="AA11:AB11"/>
    <mergeCell ref="W11:X11"/>
    <mergeCell ref="M1:O1"/>
    <mergeCell ref="P1:T1"/>
    <mergeCell ref="M2:O2"/>
    <mergeCell ref="P2:T2"/>
    <mergeCell ref="M3:O3"/>
    <mergeCell ref="P3:T3"/>
  </mergeCells>
  <conditionalFormatting sqref="E14:E25">
    <cfRule type="cellIs" dxfId="0" priority="1" operator="lessThan">
      <formula>0</formula>
    </cfRule>
  </conditionalFormatting>
  <pageMargins left="0.7" right="0.7" top="0.75" bottom="0.75" header="0.3" footer="0.3"/>
  <ignoredErrors>
    <ignoredError sqref="AC14:AF25" unlockedFormula="1"/>
    <ignoredError sqref="AO14:AO25" evalErro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Swansea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Prof MR Bache</dc:creator>
  <cp:keywords/>
  <dc:description/>
  <cp:lastModifiedBy/>
  <cp:revision/>
  <dcterms:created xsi:type="dcterms:W3CDTF">2012-12-01T10:53:10Z</dcterms:created>
  <dcterms:modified xsi:type="dcterms:W3CDTF">2025-02-14T14:39:08Z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759de7-3255-46b5-8dfe-736652f9c6c1_Enabled">
    <vt:lpwstr>true</vt:lpwstr>
  </property>
  <property fmtid="{D5CDD505-2E9C-101B-9397-08002B2CF9AE}" pid="3" name="MSIP_Label_22759de7-3255-46b5-8dfe-736652f9c6c1_SetDate">
    <vt:lpwstr>2024-10-09T07:21:04Z</vt:lpwstr>
  </property>
  <property fmtid="{D5CDD505-2E9C-101B-9397-08002B2CF9AE}" pid="4" name="MSIP_Label_22759de7-3255-46b5-8dfe-736652f9c6c1_Method">
    <vt:lpwstr>Standard</vt:lpwstr>
  </property>
  <property fmtid="{D5CDD505-2E9C-101B-9397-08002B2CF9AE}" pid="5" name="MSIP_Label_22759de7-3255-46b5-8dfe-736652f9c6c1_Name">
    <vt:lpwstr>22759de7-3255-46b5-8dfe-736652f9c6c1</vt:lpwstr>
  </property>
  <property fmtid="{D5CDD505-2E9C-101B-9397-08002B2CF9AE}" pid="6" name="MSIP_Label_22759de7-3255-46b5-8dfe-736652f9c6c1_SiteId">
    <vt:lpwstr>c6ac664b-ae27-4d5d-b4e6-bb5717196fc7</vt:lpwstr>
  </property>
  <property fmtid="{D5CDD505-2E9C-101B-9397-08002B2CF9AE}" pid="7" name="MSIP_Label_22759de7-3255-46b5-8dfe-736652f9c6c1_ActionId">
    <vt:lpwstr>265c0d7c-f907-4e10-abdd-f87acd16f5f1</vt:lpwstr>
  </property>
  <property fmtid="{D5CDD505-2E9C-101B-9397-08002B2CF9AE}" pid="8" name="MSIP_Label_22759de7-3255-46b5-8dfe-736652f9c6c1_ContentBits">
    <vt:lpwstr>0</vt:lpwstr>
  </property>
</Properties>
</file>